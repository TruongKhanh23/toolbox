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lvn.sharepoint.com/sites/TECHNOLOGYD-HOME/Ti Liu  Biu Mu/TECHNOLOGY ONLY/01. PUBLIC/01. ACTIVITIES/06. Projects/2025/SOA_Cloud/CI_CD/"/>
    </mc:Choice>
  </mc:AlternateContent>
  <xr:revisionPtr revIDLastSave="1746" documentId="13_ncr:1_{3E9B67E7-8E89-4C9C-8E86-4714BC600770}" xr6:coauthVersionLast="47" xr6:coauthVersionMax="47" xr10:uidLastSave="{61439ABC-CD9A-48AC-9A1A-7386A7294813}"/>
  <bookViews>
    <workbookView xWindow="-120" yWindow="-120" windowWidth="29040" windowHeight="15720" firstSheet="1" activeTab="2" xr2:uid="{5CD4429D-7097-404D-8DAE-02A43E6D6557}"/>
  </bookViews>
  <sheets>
    <sheet name="Environment_ServerSystem_List" sheetId="7" state="hidden" r:id="rId1"/>
    <sheet name="RACI" sheetId="4" r:id="rId2"/>
    <sheet name="CI.CD OpenShift Steps" sheetId="1" r:id="rId3"/>
    <sheet name="CI.CD OnPrem Steps" sheetId="3" state="hidden" r:id="rId4"/>
    <sheet name="Truc Replatform Steps" sheetId="8" state="hidden" r:id="rId5"/>
    <sheet name="Note" sheetId="2" r:id="rId6"/>
    <sheet name="Sheet1" sheetId="5" r:id="rId7"/>
    <sheet name="CI" sheetId="6" r:id="rId8"/>
  </sheets>
  <externalReferences>
    <externalReference r:id="rId9"/>
    <externalReference r:id="rId10"/>
  </externalReferences>
  <definedNames>
    <definedName name="Application_Components" localSheetId="0">'[1]Master Data'!$F$6:$F$501</definedName>
    <definedName name="Application_Components">'[2]Master Data'!$F$6:$F$501</definedName>
    <definedName name="E">RACI!$H$4</definedName>
    <definedName name="Final_Step">RACI!$C$5:$C$60</definedName>
    <definedName name="Member_Name" localSheetId="0">'[1]Master Data'!$K$6:$K$500</definedName>
    <definedName name="Member_Name">'[2]Master Data'!$K$6:$K$500</definedName>
    <definedName name="PIC_Components" localSheetId="0">[1]PIC!$B$5:$B$501</definedName>
    <definedName name="PIC_Components">[2]PIC!$B$5:$B$501</definedName>
    <definedName name="System_Name" localSheetId="0">'[1]Master Data'!$H$6:$H$501</definedName>
    <definedName name="System_Name">'[2]Master Data'!$H$6:$H$501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4" l="1"/>
  <c r="R5"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B4" i="4"/>
  <c r="A24" i="1"/>
  <c r="A3" i="1"/>
  <c r="A4" i="1" s="1"/>
  <c r="A5" i="1" s="1"/>
  <c r="A6" i="1" s="1"/>
  <c r="A7" i="1" s="1"/>
  <c r="A8" i="1" s="1"/>
  <c r="A9" i="1" s="1"/>
  <c r="A10" i="1" s="1"/>
  <c r="A11" i="1" s="1"/>
  <c r="A12" i="1" s="1"/>
  <c r="A13" i="1" s="1"/>
  <c r="A14" i="1" s="1"/>
  <c r="A15" i="1" s="1"/>
  <c r="A16" i="1" s="1"/>
  <c r="A17" i="1" s="1"/>
  <c r="A18" i="1" s="1"/>
  <c r="A19" i="1" s="1"/>
  <c r="A20" i="1" s="1"/>
  <c r="A21" i="1" s="1"/>
  <c r="A22" i="1" s="1"/>
  <c r="A23" i="1" s="1"/>
  <c r="A25" i="1"/>
  <c r="A26" i="1"/>
  <c r="A27" i="1"/>
  <c r="A28" i="1"/>
  <c r="A29" i="1"/>
  <c r="A30" i="1"/>
  <c r="A31" i="1"/>
  <c r="A32" i="1"/>
  <c r="A33" i="1"/>
  <c r="A34" i="1"/>
  <c r="A2" i="1"/>
  <c r="D4" i="4"/>
  <c r="L4" i="4" l="1"/>
  <c r="K4" i="4"/>
  <c r="J4" i="4"/>
  <c r="I4" i="4"/>
  <c r="H4" i="4"/>
  <c r="G4" i="4"/>
  <c r="F4" i="4"/>
  <c r="E4" i="4"/>
  <c r="C4" i="4"/>
  <c r="A4" i="4"/>
  <c r="A5" i="4" l="1"/>
  <c r="A6" i="4" s="1"/>
  <c r="A7" i="4" s="1"/>
  <c r="A8" i="4" s="1"/>
  <c r="A12" i="4" s="1"/>
  <c r="A9" i="4" s="1"/>
  <c r="A10"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Khanh, Truong Nguyen [Tech/Peripheral System Dev]</author>
    <author>tc={EDB84A54-BFB2-41A5-89AE-5BD4C32046B0}</author>
    <author>tc={F4F56366-0364-4E01-B665-A2723478FCCD}</author>
    <author>tc={00A3FB85-A82C-4922-AD11-93E7C20B7798}</author>
    <author>tc={960DEF7F-DC8B-4921-B697-D7E6EF675BEC}</author>
    <author>tc={6A7E01C2-63F6-4D2B-A832-D901C9D5DFB5}</author>
    <author>tc={B7324371-DC18-44F1-A94E-26A08C9393E3}</author>
    <author>tc={068F9B23-B22E-44E5-93CC-E65C0CEA552A}</author>
    <author>tc={7EAEEDC1-1AB6-4F65-AA62-9939A418A150}</author>
    <author>tc={F7C990B1-0646-4302-AEC6-4831EFD9DAA6}</author>
    <author>tc={64D703FF-2F13-4BC0-ADE1-F733F47589D3}</author>
    <author>tc={E05270F4-B678-4564-BA6A-2F20644132FD}</author>
    <author>tc={74B00FB6-6281-4D36-8540-8430A59AD01B}</author>
    <author>tc={AAB0A584-4D85-4119-8AFC-040CC4C7BA8F}</author>
  </authors>
  <commentList>
    <comment ref="E5" authorId="0" shapeId="0" xr:uid="{50A8D909-DF4D-467A-9911-B05333FE5B98}">
      <text>
        <r>
          <rPr>
            <b/>
            <sz val="9"/>
            <color indexed="81"/>
            <rFont val="Tahoma"/>
            <family val="2"/>
          </rPr>
          <t>Biết được bao nhiêu môi trường, mỗi môi trường có khác nhau không, để integration testing.</t>
        </r>
      </text>
    </comment>
    <comment ref="G19" authorId="1" shapeId="0" xr:uid="{EDB84A54-BFB2-41A5-89AE-5BD4C32046B0}">
      <text>
        <t xml:space="preserve">[Threaded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GitLab/ApplicationConfiguration - SA in charge
</t>
      </text>
    </comment>
    <comment ref="G25" authorId="2" shapeId="0" xr:uid="{F4F56366-0364-4E01-B665-A2723478FCCD}">
      <text>
        <t>[Threaded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Harbor -  SA in charge</t>
      </text>
    </comment>
    <comment ref="G26" authorId="3" shapeId="0" xr:uid="{00A3FB85-A82C-4922-AD11-93E7C20B7798}">
      <text>
        <t>[Threaded comment]
Your version of Excel allows you to read this threaded comment; however, any edits to it will get removed if the file is opened in a newer version of Excel. Learn more: https://go.microsoft.com/fwlink/?linkid=870924
Comment:
    Cần update guideline để hướng dẫn tạo Runner trên Server Linux</t>
      </text>
    </comment>
    <comment ref="G27" authorId="4" shapeId="0" xr:uid="{960DEF7F-DC8B-4921-B697-D7E6EF675BEC}">
      <text>
        <t xml:space="preserve">[Threaded comment]
Your version of Excel allows you to read this threaded comment; however, any edits to it will get removed if the file is opened in a newer version of Excel. Learn more: https://go.microsoft.com/fwlink/?linkid=870924
Comment:
    Cần develop “DevOps Engineering Standards” - Section GitLab Pipeline
</t>
      </text>
    </comment>
    <comment ref="G28" authorId="5" shapeId="0" xr:uid="{6A7E01C2-63F6-4D2B-A832-D901C9D5DFB5}">
      <text>
        <t>[Threaded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OpenShift -  SA in charge</t>
      </text>
    </comment>
    <comment ref="G29" authorId="6" shapeId="0" xr:uid="{B7324371-DC18-44F1-A94E-26A08C9393E3}">
      <text>
        <t>[Threaded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OpenShift - Section GitLab - SA in charge</t>
      </text>
    </comment>
    <comment ref="G30" authorId="7" shapeId="0" xr:uid="{068F9B23-B22E-44E5-93CC-E65C0CEA552A}">
      <text>
        <t>[Threaded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GitLab/Helm -  SA in charge</t>
      </text>
    </comment>
    <comment ref="G31" authorId="8" shapeId="0" xr:uid="{7EAEEDC1-1AB6-4F65-AA62-9939A418A150}">
      <text>
        <t>[Threaded comment]
Your version of Excel allows you to read this threaded comment; however, any edits to it will get removed if the file is opened in a newer version of Excel. Learn more: https://go.microsoft.com/fwlink/?linkid=870924
Comment:
    Cần develop “DevOps Engineering Standards” - Section Helm Chart</t>
      </text>
    </comment>
    <comment ref="G32" authorId="9" shapeId="0" xr:uid="{F7C990B1-0646-4302-AEC6-4831EFD9DAA6}">
      <text>
        <t>[Threaded comment]
Your version of Excel allows you to read this threaded comment; however, any edits to it will get removed if the file is opened in a newer version of Excel. Learn more: https://go.microsoft.com/fwlink/?linkid=870924
Comment:
    SA chỉ update file values? Còn những file templates/chart thì System Architecture? Cần tách rõ ra 2 dòng? 
Update values in HelmChart?
Update templates in HelmChart?</t>
      </text>
    </comment>
    <comment ref="G33" authorId="10" shapeId="0" xr:uid="{64D703FF-2F13-4BC0-ADE1-F733F47589D3}">
      <text>
        <t>[Threaded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Argo CD - SA in charge</t>
      </text>
    </comment>
    <comment ref="G34" authorId="11" shapeId="0" xr:uid="{E05270F4-B678-4564-BA6A-2F20644132FD}">
      <text>
        <t>[Threaded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F5 Load Balancing - SA in charge</t>
      </text>
    </comment>
    <comment ref="G35" authorId="12" shapeId="0" xr:uid="{74B00FB6-6281-4D36-8540-8430A59AD01B}">
      <text>
        <t xml:space="preserve">[Threaded comment]
Your version of Excel allows you to read this threaded comment; however, any edits to it will get removed if the file is opened in a newer version of Excel. Learn more: https://go.microsoft.com/fwlink/?linkid=870924
Comment:
    Cần develop “DevOps Engineering Standards” - Section Ansible Playbook
</t>
      </text>
    </comment>
    <comment ref="G36" authorId="13" shapeId="0" xr:uid="{AAB0A584-4D85-4119-8AFC-040CC4C7BA8F}">
      <text>
        <t xml:space="preserve">[Threaded comment]
Your version of Excel allows you to read this threaded comment; however, any edits to it will get removed if the file is opened in a newer version of Excel. Learn more: https://go.microsoft.com/fwlink/?linkid=870924
Comment:
    Cần develop “DevOps Operation Standards” document - Section OpenShift - SA in charge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tc={CEA54AF0-DA17-4575-A607-1BE255469146}</author>
    <author>tc={11FE1162-F104-4585-A2F5-45071CBACE22}</author>
    <author>tc={D816243F-DFD3-4D4C-A1F6-523E3D17BF98}</author>
    <author>tc={D640AA12-9CB5-4C29-9545-CFC588ADB283}</author>
    <author>tc={03664E1B-8FE7-433B-A9FF-9430CF2A573C}</author>
    <author>tc={DF2E3082-CC20-459F-9D50-F6842597ED52}</author>
  </authors>
  <commentList>
    <comment ref="E3" authorId="0" shapeId="0" xr:uid="{CEA54AF0-DA17-4575-A607-1BE255469146}">
      <text>
        <t xml:space="preserve">[Threaded comment]
Your version of Excel allows you to read this threaded comment; however, any edits to it will get removed if the file is opened in a newer version of Excel. Learn more: https://go.microsoft.com/fwlink/?linkid=870924
Comment:
    Dockerfile-openshift:
ENV SPRING_CONFIG_LOCATION="/home/appconfig/" ENV SPRING_LOGGING_CONFIG="${SPRING_CONFIG_LOCATION}logback.xml" 
https://git.dai-ichi-life.com.vn/dlvn/d-connect-system/d-connect-backend/-/blob/main/Dockerfile-openshift?ref_type=heads
Helm Chart (configmap)
application.properties: |- 
Helm Chart (config secret)
sensitiveData: 
https://git.dai-ichi-life.com.vn/gitops/uat/helm-chart-d-connect-system-uat/-/blob/main/d-connect-backend/values.uat.yaml?ref_type=heads
Dockerfile-openshift:
ENV SPRING_CONFIG_LOCATION="/home/appconfig/" ENV SPRING_LOGGING_CONFIG="${SPRING_CONFIG_LOCATION}logback.xml" 
https://git.dai-ichi-life.com.vn/dlvn/d-connect-system/d-connect-backend/-/blob/main/Dockerfile-openshift?ref_type=heads
Helm Chart (configmap)
application.properties: |- 
Helm Chart (config secret)
sensitiveData: 
https://git.dai-ichi-life.com.vn/gitops/uat/helm-chart-d-connect-system-uat/-/blob/main/d-connect-backend/values.uat.yaml?ref_type=heads
</t>
      </text>
    </comment>
    <comment ref="E4" authorId="1" shapeId="0" xr:uid="{11FE1162-F104-4585-A2F5-45071CBACE22}">
      <text>
        <t xml:space="preserve">[Threaded comment]
Your version of Excel allows you to read this threaded comment; however, any edits to it will get removed if the file is opened in a newer version of Excel. Learn more: https://go.microsoft.com/fwlink/?linkid=870924
Comment:
    Dockerfile-openshift:
ENV SPRING_CONFIG_LOCATION="/home/appconfig/" ENV SPRING_LOGGING_CONFIG="${SPRING_CONFIG_LOCATION}logback.xml" 
https://git.dai-ichi-life.com.vn/dlvn/d-connect-system/d-connect-backend/-/blob/main/Dockerfile-openshift?ref_type=heads
Helm Chart (configmap)
application.properties: |- 
Helm Chart (config secret)
sensitiveData: 
https://git.dai-ichi-life.com.vn/gitops/uat/helm-chart-d-connect-system-uat/-/blob/main/d-connect-backend/values.uat.yaml?ref_type=heads
</t>
      </text>
    </comment>
    <comment ref="E10" authorId="2" shapeId="0" xr:uid="{D816243F-DFD3-4D4C-A1F6-523E3D17BF98}">
      <text>
        <t xml:space="preserve">[Threaded comment]
Your version of Excel allows you to read this threaded comment; however, any edits to it will get removed if the file is opened in a newer version of Excel. Learn more: https://go.microsoft.com/fwlink/?linkid=870924
Comment:
    HelmChart: 
Logback.xml !
</t>
      </text>
    </comment>
    <comment ref="F16" authorId="3" shapeId="0" xr:uid="{D640AA12-9CB5-4C29-9545-CFC588ADB283}">
      <text>
        <t>[Threaded comment]
Your version of Excel allows you to read this threaded comment; however, any edits to it will get removed if the file is opened in a newer version of Excel. Learn more: https://go.microsoft.com/fwlink/?linkid=870924
Comment:
    Đối với On-Prem thì không cần tạo project mới mà dùng chung project “artifact-releases”, phân quyền 1 lần duy nhất và đã làm rồi. 
User này trong Git Global Variables
Trong file base.gitlab-ci.yml sẽ có đoạn docker login sử dụng biến username và password để login (cụ thể tên biến xem lại trong file base.gitlab-ci.yml (HARBOR_HOST, HARBOR_USERNAME, HARBOR_PASSWORD)</t>
      </text>
    </comment>
    <comment ref="B19" authorId="4" shapeId="0" xr:uid="{03664E1B-8FE7-433B-A9FF-9430CF2A573C}">
      <text>
        <t>[Threaded comment]
Your version of Excel allows you to read this threaded comment; however, any edits to it will get removed if the file is opened in a newer version of Excel. Learn more: https://go.microsoft.com/fwlink/?linkid=870924
Comment:
    App config # biến môi trường # file config theo từng môi trường</t>
      </text>
    </comment>
    <comment ref="F19" authorId="5" shapeId="0" xr:uid="{DF2E3082-CC20-459F-9D50-F6842597ED52}">
      <text>
        <t>[Threaded comment]
Your version of Excel allows you to read this threaded comment; however, any edits to it will get removed if the file is opened in a newer version of Excel. Learn more: https://go.microsoft.com/fwlink/?linkid=870924
Comment:
    CI Node,js thì bước này phải nằm trên
CD On-Prem thì bước này nằm ở đây đúng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tc={A2D76553-9D21-4272-803C-85FCB9D8B23A}</author>
  </authors>
  <commentList>
    <comment ref="D5" authorId="0" shapeId="0" xr:uid="{A2D76553-9D21-4272-803C-85FCB9D8B23A}">
      <text>
        <t>[Threaded comment]
Your version of Excel allows you to read this threaded comment; however, any edits to it will get removed if the file is opened in a newer version of Excel. Learn more: https://go.microsoft.com/fwlink/?linkid=870924
Comment:
    Không dùng file .bat thì viết command line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tc={43145269-381D-49FB-9C17-86EB24D39BB0}</author>
  </authors>
  <commentList>
    <comment ref="A5" authorId="0" shapeId="0" xr:uid="{43145269-381D-49FB-9C17-86EB24D39BB0}">
      <text>
        <t>[Threaded comment]
Your version of Excel allows you to read this threaded comment; however, any edits to it will get removed if the file is opened in a newer version of Excel. Learn more: https://go.microsoft.com/fwlink/?linkid=870924
Comment:
    1. PV – Persistent Volume
Persistent Volume (PV) là:
Một tài nguyên lưu trữ (storage resource) ở cấp cluster
Được admin hoặc hệ thống tự động (StorageClass) tạo ra
Đại diện cho ổ lưu trữ thực (NFS, iSCSI, AWS EBS, GCE PD, Azure Disk, Ceph, v.v.)
👉 Hiểu đơn giản: PV = “ổ cứng” đã được cấp sẵn trong cluster
Đặc điểm chính:
Độc lập với Pod (Pod bị xóa thì dữ liệu vẫn còn)
Có các thuộc tính như:
capacity (dung lượng)
accessModes (ReadWriteOnce, ReadOnlyMany, ReadWriteMany)
storageClass
reclaimPolicy (Retain / Delete / Recycle)
2. PVC – Persistent Volume Claim
Persistent Volume Claim (PVC) là:
Một yêu cầu sử dụng storage do developer / application khai báo
Không quan tâm storage nằm ở đâu, chỉ quan tâm cần gì
👉 Hiểu đơn giản: PVC = “đơn xin cấp ổ cứng”
PVC mô tả:
Cần bao nhiêu dung lượng (ví dụ 10Gi)
Cần access mode nào
Cần StorageClass nào
Kubernetes sẽ:
Tìm một PV phù hợp để gán cho PVC
hoặc
Tự động tạo PV nếu dùng StorageClass (dynamic provisioning)</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<sst xmlns="http://schemas.openxmlformats.org/spreadsheetml/2006/main" count="1171" uniqueCount="570">
  <si>
    <t>No.</t>
  </si>
  <si>
    <t>Task</t>
  </si>
  <si>
    <t>PIC</t>
  </si>
  <si>
    <t>Estimate</t>
  </si>
  <si>
    <t>Comment</t>
  </si>
  <si>
    <t>Lấy danh sách nhóm ứng dụng và kèm với tài liệu cài đặt/vận hành (cài đặt ban đầu và mỗi khi promote/golive)</t>
  </si>
  <si>
    <t>SA, DEV</t>
  </si>
  <si>
    <t>Lấy danh sách file config của các ứng dụng (file name, location)</t>
  </si>
  <si>
    <t>DEV</t>
  </si>
  <si>
    <t>Đưa file config ra ngoài file đóng gói ứng dụng (war,…)</t>
  </si>
  <si>
    <t>Tách, quản lý cron job/ scheduler ra chạy độc lập</t>
  </si>
  <si>
    <t>DevOps</t>
  </si>
  <si>
    <t>2-3 days</t>
  </si>
  <si>
    <t>Cấu trúc lại gitlab repository của ứng dụng (vd: tách BE, FE riêng từng project/repo)</t>
  </si>
  <si>
    <t>DEV, DevOps</t>
  </si>
  <si>
    <t>Chuyển ghi log ra file thành log console nếu chạy trên k8s (OpenShift)</t>
  </si>
  <si>
    <t>Tạo project gitops (dùng helm chart): đưa app config vào ConfigMap, Secret; mount folder report to PV</t>
  </si>
  <si>
    <t>2 days</t>
  </si>
  <si>
    <t>  + Settings -&gt; CICD -&gt; Variables.</t>
  </si>
  <si>
    <t>  + Settings -&gt; CICD -&gt; Runners.</t>
  </si>
  <si>
    <t>1-2 days</t>
  </si>
  <si>
    <t>1 day</t>
  </si>
  <si>
    <t>CD on OpenShift</t>
  </si>
  <si>
    <t>CI</t>
  </si>
  <si>
    <t>Lí do CI làm sau là vì có thể build tay, và sử dụng Deploy tự động</t>
  </si>
  <si>
    <t>Category</t>
  </si>
  <si>
    <t>SA</t>
  </si>
  <si>
    <t>Output</t>
  </si>
  <si>
    <t>Action</t>
  </si>
  <si>
    <t>Example</t>
  </si>
  <si>
    <t>Hỏi lại anh Tuấn các file note trước đây đã lưu</t>
  </si>
  <si>
    <t>Book meeting để SA, DEV mở file word đã có lên trình bày cho System Architecture nắm thông tin và note lại những điểm cần biết: Server nào, IP nào, Runtime Version, Web Server Version, Tech Stack Related Version. Cần những thông tin này để có thông tin làm tương tự trên Docker (giống như dời server đó vào Docker).</t>
  </si>
  <si>
    <t>Collect Information for Dockerfile</t>
  </si>
  <si>
    <t>CI/CD Related Files</t>
  </si>
  <si>
    <t>Dockerfile</t>
  </si>
  <si>
    <t>.gitlab-ci.yml</t>
  </si>
  <si>
    <t>Helm chart (YAML)</t>
  </si>
  <si>
    <t>-</t>
  </si>
  <si>
    <t>1 file word, file note</t>
  </si>
  <si>
    <t>.env, application.properties, appsettings.config</t>
  </si>
  <si>
    <t>Link File Example</t>
  </si>
  <si>
    <t>Local File</t>
  </si>
  <si>
    <t>UAT File Example On Prem</t>
  </si>
  <si>
    <t>Nằm cùng cấp ở file .jar</t>
  </si>
  <si>
    <t>File Path, List Config Files</t>
  </si>
  <si>
    <t>Liên hệ trực tiếp qua tận bàn hỏi, mấy file, nằm ở đâu. Hỏi DEV ở local, hỏi SA ở UAT. Confirm 2 người xem khớp không đủ chưa, đôi khi ở local đặt chỗ đây, ở UAT đặt chỗ khác. Ví dụ Java, file ở local nằm trong source code, trên server UAT on prem thì nằm cùng cấp ở file JAR. Mục tiêu để biết có bao nhiêu file để quản lý trên OpenShift đủ file. Ví dụ khi lên OpenShift sẽ được config trong Helm Chart  mountPath: "/home/appconfig"</t>
  </si>
  <si>
    <t>Dockerfile, HELM Chart</t>
  </si>
  <si>
    <t>Chỉ build artifact cho On-Prem</t>
  </si>
  <si>
    <t>Dockerfile-openshift</t>
  </si>
  <si>
    <t>Để build image cho OpenShift, nội dung file tương tự Dockerfile, chỉ thêm 1 phần Runtime stage</t>
  </si>
  <si>
    <t>- SA: setup server theo tài liệu này (nếu chưa có)</t>
  </si>
  <si>
    <t>Tạo file .sh/.bat để build/deploy ứng dụng</t>
  </si>
  <si>
    <t>Có thể mất thời gian hơn tùy vào độ phức tạp của ứng dụng và kinh nghiệm của dev</t>
  </si>
  <si>
    <t>Sử dụng GitLab import/export project</t>
  </si>
  <si>
    <t>Tạo các file manifest (yaml) để chạy trên Ansible</t>
  </si>
  <si>
    <t>Tạo file .gitlab-ci.yml để chạy pipeline.</t>
  </si>
  <si>
    <t>Cấu hình Gitlab CI:</t>
  </si>
  <si>
    <t>Hoàn thiện tích hợp full luồng CICD với GitlabCI và Ansible</t>
  </si>
  <si>
    <t>Nếu là OpenShift thì sẽ build bằng Docker không cần bước này</t>
  </si>
  <si>
    <t>Is Required</t>
  </si>
  <si>
    <t>Optional</t>
  </si>
  <si>
    <t>Nếu là OpenShift thì không dùng Ansible (playbook), mà sẽ dùng ArgoCD, ArgoCD sẽ dùng Helm để chạy</t>
  </si>
  <si>
    <t>So sánh với On-Prem</t>
  </si>
  <si>
    <t>giống</t>
  </si>
  <si>
    <t>Yêu cầu DEV sửa, đưa config ra ngoài file đóng gói ứng dụng (war), sửa code lại để đừng đọc trong các file config trong source code nữa, mà phải đọc ở ngoài, để có mount file path tới bất kỳ đâu cũng được thông qua biến môi trường, biến môi trường đó sẽ được config trong Helm Chart.</t>
  </si>
  <si>
    <t>Application Source Code, HELM Chart</t>
  </si>
  <si>
    <t>Application Source Code, HELM Chart, Dockerfile</t>
  </si>
  <si>
    <t>Config ứng dụng khác với Config đường dẫn folder. Conffig đường dẫn folder phục vụ cho việc đọc/ghi file (pdf, excel template, ...)</t>
  </si>
  <si>
    <t>Liệt kê các config đường dẫn folder share (ví dụ Qumulo, share network drive) hoặc đường dẫn folder không share như window server temp folder ổ vật lý (server run chính application):
  + Lưu config ở đâu?
  + Có đọc/ghi file?</t>
  </si>
  <si>
    <t>Source Code Updated</t>
  </si>
  <si>
    <t>List File Path, Quyền</t>
  </si>
  <si>
    <t>HELM Chart (YAML)</t>
  </si>
  <si>
    <t>PV, PVC</t>
  </si>
  <si>
    <t>Hỏi ứng dụng đó có ghi vào Qumulo không? Để xin cấp quyền ghi (ví dụ trường hợp 1 thằng ghi nhưng mà có 10 thằng đọc). Phục vụ cho việc cấp quyền khi lên OpenShift. Cấp quyền ở nhiều nơi (Qumulo, OpenShift) giúp chặn nhiều tầng.
PV/PVC: volumes, volumeMounts trong Helm Chart (tương tự như tính chất share folder của onedrive, nhiều người share thì config nhiều volume, volumeMounts)
Volumemount name: server trên container nào
Volumemount path: đường dẫn nào (Qumulo sẽ mapping hình ảnh dữ liệu vào folder này, container sẽ đọc để lấy dữ liệu)</t>
  </si>
  <si>
    <t>Merge Request D-Connect Backend</t>
  </si>
  <si>
    <t>https://git.dai-ichi-life.com.vn/gitops/uat/helm-chart-d-connect-system-uat/-/blob/main/d-connect-backend/values.uat.yaml?ref_type=heads</t>
  </si>
  <si>
    <t>Link file trong comment</t>
  </si>
  <si>
    <t>Đọc trong file HELM, Dockerfile</t>
  </si>
  <si>
    <t>Đọc trong file HELM</t>
  </si>
  <si>
    <t>Xin anh Tuấn</t>
  </si>
  <si>
    <t>On-Prem không có bước này</t>
  </si>
  <si>
    <t>Tất cả thứ liên quan tới Deploy (config, …) trong HELM Chart hết</t>
  </si>
  <si>
    <t>Application Source Code, Helm chart (YAML)</t>
  </si>
  <si>
    <t>logback-spring.xml</t>
  </si>
  <si>
    <t>https://git.dai-ichi-life.com.vn/dlvn/d-connect-system/d-connect-backend/-/blob/main/src/main/resources/logback-spring.xml?ref_type=heads</t>
  </si>
  <si>
    <t>Sửa file config của library ghi log (ví dụ Log4j.xml) (chi tiết cách sửa trên trang chủ của thư viện hướng dẫn, lưu ý tùy theo version sẽ có sự khác nhau)
&lt;appender name="Console"
&lt;root level="info"&gt;
        &lt;appender-ref ref="RollingFile" /&gt;
        &lt;appender-ref ref="Console" /&gt;
    &lt;/root&gt;
Khi đã ghi console log thì sẽ có 1 con agent của OpenShift quét Console các Pod đẩy qua ELK (việc config đẩy qua ELK đã được làm khi SA dựng OpenShift lên rồi).</t>
  </si>
  <si>
    <t>Chuyển đổi thành containerized app (run with Dockerfile):
  + Tạo/search base image.
  + Mount thư mục share (qmulo,...), config, log.
  + File .dockerignore.
Run docker chạy thử nghiệm</t>
  </si>
  <si>
    <t>o Chạy non-root user - root user quyền cao, dễ rò rỉ bảo mật
o Khai báo WORKDIR rõ ràng - luôn khai báo WORKDIR, tránh quên khai báo nó sẽ lấy defautl (đây là 1 best practice), lí do thì google thêm (ví dụ giúp copy đúng workdir)
o COPY đúng artifact cần thiết - tránh copy cái không xài (như runtime), ví dụ chỉ cần copy file build thì copy file build thôi. 
o Không hardcode cấu hình - không hard code, dùng qua 1 biến ENV, có thể linh động thay đổi giá trị thông qua config trên HELM chart.
o Không embed secret - config trong HELM chart
o Không expose port dư thừa - ra 1 port thôi, dư thừa khó quản lý,  bảo mật thấp, liên quan tới mạng network
- Không Custom OS package không cần thiết cho runtime - ví dụ Server chỉ cần cài JVM là đủ mà cài thêm Python dư (thường gặp lỗi này là do copy paste dockerfile trên mạng mà không hiểu bị dư)
Chạy thử nghiệm với lệnh Docker Run, truyền giá trị của các ENV vào lệnh (tương tự như HELM Chart trên OpenShift)</t>
  </si>
  <si>
    <t>Trường hợp 1 ứng dụng chưa có CI/CD, nhưng được Replatform thì trong dự án Replatform này sẽ thực hiện luôn CI/CD nhưng trực tiếp trên OpenShift?</t>
  </si>
  <si>
    <t>Ví dụ D-Medic không làm CI/CD nhưng Deploy lên OpenShift luôn</t>
  </si>
  <si>
    <t>Replatform tức là chuyển đổi CD On-Prem lên CD OpenShift</t>
  </si>
  <si>
    <t>System Architecture</t>
  </si>
  <si>
    <t>Tạo project và phân quyền trên Harbor</t>
  </si>
  <si>
    <t>Tạo các file config trên Git ManagementConfig/UAT/ApplicationConfig</t>
  </si>
  <si>
    <t>Config khi Deploy OnPrem sẽ nằm trong ManagementConfig (riêng Nodejs thì vẫn trong đây nhưng phục vụ thêm cả OpenShift), OpenShift sẽ là HelmChart</t>
  </si>
  <si>
    <t>.env nodejs</t>
  </si>
  <si>
    <t>System Architecture init file, SA update nếu có</t>
  </si>
  <si>
    <t>registry.dai-ichi-life.com.vn/d-connect-system/d-connect-backend</t>
  </si>
  <si>
    <t>Nhờ anh Tuấn hoặc SA mở cho coi tử</t>
  </si>
  <si>
    <t>Config secret để pull image trên OpenShift cho namespace ở bước trên</t>
  </si>
  <si>
    <t>https://gitlabtest.dai-ichi-life.com.vn/admin/application_settings/integrations</t>
  </si>
  <si>
    <t>Config  global harbor integration settings admin area</t>
  </si>
  <si>
    <t>Tạo DataPower (cho ACE OpenShift) hoặc tạo/config F5 (các ứng dụng còn lại không phải cho ACE)</t>
  </si>
  <si>
    <t>Đặt name theo Subgroup Slug Git theo kebap-case, ví dụ:
d-connect-system/d-connect-backend
Phân quyền: cho các tài khoản harbor pull/push (anh Tuấn làm, nhờ anh Tuấn share thêm) - ví dụ CI có 1 tài khoản cho CI pull /push để pull base images push app images, OpenShift có 1 tài khoản - pull app image về để deploy</t>
  </si>
  <si>
    <t>Tạo namespace và phân quyền trên OpenShift
(namespace trong thuật ngữ của K8S, project trong thuật ngữ OpenShift)</t>
  </si>
  <si>
    <r>
      <t xml:space="preserve">Đặt name theo Subgroup Slug  Git theo </t>
    </r>
    <r>
      <rPr>
        <b/>
        <sz val="11"/>
        <color theme="1"/>
        <rFont val="Aptos Narrow"/>
        <family val="2"/>
        <scheme val="minor"/>
      </rPr>
      <t>kebap-case</t>
    </r>
    <r>
      <rPr>
        <sz val="11"/>
        <color theme="1"/>
        <rFont val="Aptos Narrow"/>
        <family val="2"/>
        <scheme val="minor"/>
      </rPr>
      <t>, ví dụ:
d-connect-system/d-connect-backend-uat và thêm suffix môi trường "-dev" hoặc "-uat" (không có chuyện uat1,uat2, tức là các uat1,uat2 đều nằm trong namepsace "-uat" hết)
Phân quyền account ldap để vô read (đọc xem có deploy được hông, hoặc lỗi)
có thể có quyền khác</t>
    </r>
  </si>
  <si>
    <t>Tạo project và application Argo CD và phân quyền</t>
  </si>
  <si>
    <t>Chạy HelmChart gì, file value nào (ví dụ HelmChartDConnect, file value uat thì lấy file value.uat.yaml)
Phân quyền account ldap để vô read/sync (đọc xem có deploy được hông, hoặc lỗi)
có thể có quyền khác, hiện tại technical leader/hoặc đại diện Senior Dev</t>
  </si>
  <si>
    <t>https://console-openshift-console.apps.oscldev.dai-ichi-life.com.vn/k8s/all-namespaces/core~v1~Secret</t>
  </si>
  <si>
    <t>Tạo secret chứa username/token của Harbor</t>
  </si>
  <si>
    <t>https://console-openshift-console.apps.oscldev.dai-ichi-life.com.vn/k8s/cluster/project.openshift.io~v1~Project</t>
  </si>
  <si>
    <t>Config routing domain/ip/network/port để khi truy cập domain nó sẽ điều hướng tới container của OpenShift.</t>
  </si>
  <si>
    <t>https://git.dai-ichi-life.com.vn/gitops/uat/helm-chart-d-connect-system-uat/-/tree/main/d-connect-backend?ref_type=heads</t>
  </si>
  <si>
    <t>https://git.dai-ichi-life.com.vn/dlvn/d-connect-system/d-connect-backend/-/blob/main/.gitlab-ci.yml?ref_type=heads</t>
  </si>
  <si>
    <t>Sửa CI base pipeline trong trường hợp base không đáp ứng được</t>
  </si>
  <si>
    <t>https://git.dai-ichi-life.com.vn/gitops/pipeline/gitlab-pipeline/-/blob/main/pipeline-maven/maven-openshift.gitlab-ci.yml?ref_type=heads</t>
  </si>
  <si>
    <t>Key Replatforming Considerations:</t>
  </si>
  <si>
    <t>● Filesystem &amp; Storage</t>
  </si>
  <si>
    <t>Identify direct filesystem usage and determine the need for persistent storage mapping (PVC).</t>
  </si>
  <si>
    <t>● File Handling via API</t>
  </si>
  <si>
    <t>Assess file upload/download flows to decide between temporary storage or persistent/object storage.</t>
  </si>
  <si>
    <t>● Shared Storage Across Deployments</t>
  </si>
  <si>
    <t>Identify use cases requiring shared mount points across multiple Deployments (e.g. sitemap generation) and define appropriate storage access modes (e.g. RWX).</t>
  </si>
  <si>
    <t>● Scheduled Jobs</t>
  </si>
  <si>
    <t>Review scheduled tasks and prefer Kubernetes CronJobs over long-running single-pod Deployments.</t>
  </si>
  <si>
    <t>● OS-Dependent Paths</t>
  </si>
  <si>
    <t>Eliminate Windows-specific paths and ensure Linux/container-compatible path handling.</t>
  </si>
  <si>
    <t>● Configuration Management</t>
  </si>
  <si>
    <t>Externalize and standardize application configuration using ConfigMaps, Secrets, and environment variables.</t>
  </si>
  <si>
    <t>● Outbound Connectivity</t>
  </si>
  <si>
    <t>Identify required outbound connections (ports, protocols, destinations) to support egress and network policies.</t>
  </si>
  <si>
    <t>--------------------------------------------------------------------------------------------------------------------------------------</t>
  </si>
  <si>
    <t>CI pipeline:</t>
  </si>
  <si>
    <t>- Dockerfile for build</t>
  </si>
  <si>
    <t>- Images build: always from catalog.redhat.com and follow container is a base platform standard guide</t>
  </si>
  <si>
    <t>- Images runtime: always from catalog.redhat.com and follow container is a base platform standard guide</t>
  </si>
  <si>
    <t>CD pipeline:</t>
  </si>
  <si>
    <t>- OpenShift structure</t>
  </si>
  <si>
    <t>- HelmChart</t>
  </si>
  <si>
    <t>- Secrets</t>
  </si>
  <si>
    <t>- ConfigMaps</t>
  </si>
  <si>
    <t>- Deployments</t>
  </si>
  <si>
    <t>- Routes/Services</t>
  </si>
  <si>
    <t>R</t>
  </si>
  <si>
    <t>A</t>
  </si>
  <si>
    <t>C</t>
  </si>
  <si>
    <t>I</t>
  </si>
  <si>
    <t>Step</t>
  </si>
  <si>
    <t>Deliverables</t>
  </si>
  <si>
    <t>Deliverables Components (What)</t>
  </si>
  <si>
    <t>Rules</t>
  </si>
  <si>
    <t>Input</t>
  </si>
  <si>
    <t xml:space="preserve">Responsible </t>
  </si>
  <si>
    <t>Accountable</t>
  </si>
  <si>
    <t>Consulted</t>
  </si>
  <si>
    <t>Informed</t>
  </si>
  <si>
    <t>Auto Increase</t>
  </si>
  <si>
    <t>Step Name</t>
  </si>
  <si>
    <t>Output (files, …)</t>
  </si>
  <si>
    <t>Details Component inside the output</t>
  </si>
  <si>
    <t>When/How</t>
  </si>
  <si>
    <t>Input documents that help perform this step</t>
  </si>
  <si>
    <t>The person who performs the task directly</t>
  </si>
  <si>
    <t>The person ultimately responsible, who makes decisions and owns the outcome</t>
  </si>
  <si>
    <t>The person with expertise who is consulted for input</t>
  </si>
  <si>
    <t>The person who needs to be kept updated on progress and results</t>
  </si>
  <si>
    <t>Identify application components, architecture of system</t>
  </si>
  <si>
    <t>Squad Leader, Technical Leader</t>
  </si>
  <si>
    <t>Developer</t>
  </si>
  <si>
    <t>Port Opening Request Form</t>
  </si>
  <si>
    <t>Identify required outbound connections (ports, protocols, destinations) to support egress/ingress and network policies.</t>
  </si>
  <si>
    <t>System Administrator</t>
  </si>
  <si>
    <t>Provide installation/promote documentation for application components</t>
  </si>
  <si>
    <t>N/A</t>
  </si>
  <si>
    <t>Operation Form</t>
  </si>
  <si>
    <t>Provide operation documentation for application components</t>
  </si>
  <si>
    <t>Identitfy Application Configuration</t>
  </si>
  <si>
    <t>Configuration Management</t>
  </si>
  <si>
    <t>Updated Source Code</t>
  </si>
  <si>
    <t>Filesystem &amp; Storage</t>
  </si>
  <si>
    <t>File Path List, Permissions List</t>
  </si>
  <si>
    <t>Scheduled Jobs</t>
  </si>
  <si>
    <t>Switch Application Logging to Console</t>
  </si>
  <si>
    <t>Group Access Token (Token Name, Group Access Token Value)</t>
  </si>
  <si>
    <t>Create Group Access Token for update build version to Helm Chart Repository</t>
  </si>
  <si>
    <t>Variable Name</t>
  </si>
  <si>
    <t>Harbor Management</t>
  </si>
  <si>
    <t>Harbor projects, Permissions</t>
  </si>
  <si>
    <t>Name of GitLab repositories of application components</t>
  </si>
  <si>
    <t>Prepare environment-specific configuration</t>
  </si>
  <si>
    <t>Repositories in ManagementConfig group in GitLab, configuration files</t>
  </si>
  <si>
    <t>GitLab CI Pipeline</t>
  </si>
  <si>
    <t>Configure GitLab CI Pipeline for application component repository</t>
  </si>
  <si>
    <t>Base CI pipeline</t>
  </si>
  <si>
    <t>CI base pipeline</t>
  </si>
  <si>
    <t>Updated CI base pipeline</t>
  </si>
  <si>
    <t>OpenShift Namespace &amp; Access Management</t>
  </si>
  <si>
    <t>OpenShift namesapce, RBAC</t>
  </si>
  <si>
    <t>Image Pull Secrets Configuration</t>
  </si>
  <si>
    <t>Secrets for pull images</t>
  </si>
  <si>
    <t>Token Name, Group Access Token Value</t>
  </si>
  <si>
    <t>All deliverables of Step 1 to Step 10</t>
  </si>
  <si>
    <t>Argo CD Application &amp; Access Management</t>
  </si>
  <si>
    <t>Helm Repositories in GitLab</t>
  </si>
  <si>
    <t>Traffic Routing Confiugration</t>
  </si>
  <si>
    <t>DataPower or F5 configurations</t>
  </si>
  <si>
    <t>#</t>
  </si>
  <si>
    <t>Item</t>
  </si>
  <si>
    <t>System Admin</t>
  </si>
  <si>
    <t>Cách truyền config (env var / file mount)</t>
  </si>
  <si>
    <t>Dev</t>
  </si>
  <si>
    <t>Mount folder share (đường dẫn, quyền RW/RO, user/group)</t>
  </si>
  <si>
    <t>Có Cron/Scheduler ko? tách job riêng hay chung source ? có disable theo env?</t>
  </si>
  <si>
    <t>Cơ chế logging? nếu là file thì path/rotation gì? log console ?</t>
  </si>
  <si>
    <t>Cách quản lý secret (lưu ở đâu; cách inject) -&gt; cần hướng đến đặt ngoài source code, không hardcode</t>
  </si>
  <si>
    <t>Danh sách app + tài liệu cài đặt/vận hành (install + promote/golive)</t>
  </si>
  <si>
    <t>Danh sách app + tài liệu/cách cài đặt/vận hành (install + promote/golive)</t>
  </si>
  <si>
    <t>Cách tổ chức source code</t>
  </si>
  <si>
    <t>Cách build application từ source code</t>
  </si>
  <si>
    <r>
      <t xml:space="preserve">Danh sách file </t>
    </r>
    <r>
      <rPr>
        <b/>
        <sz val="11"/>
        <color theme="1"/>
        <rFont val="Aptos Narrow"/>
        <family val="2"/>
        <scheme val="minor"/>
      </rPr>
      <t>server</t>
    </r>
    <r>
      <rPr>
        <sz val="11"/>
        <color theme="1"/>
        <rFont val="Aptos Narrow"/>
        <family val="2"/>
        <scheme val="minor"/>
      </rPr>
      <t xml:space="preserve"> config (tên + vị trí)</t>
    </r>
  </si>
  <si>
    <r>
      <t xml:space="preserve">Danh sách file </t>
    </r>
    <r>
      <rPr>
        <b/>
        <sz val="11"/>
        <color theme="1"/>
        <rFont val="Aptos Narrow"/>
        <family val="2"/>
        <scheme val="minor"/>
      </rPr>
      <t>application</t>
    </r>
    <r>
      <rPr>
        <sz val="11"/>
        <color theme="1"/>
        <rFont val="Aptos Narrow"/>
        <family val="2"/>
        <scheme val="minor"/>
      </rPr>
      <t xml:space="preserve"> config (tên + vị trí)</t>
    </r>
  </si>
  <si>
    <t>Danh sách folder share/local &amp; permission</t>
  </si>
  <si>
    <t>Dev + System Admin</t>
  </si>
  <si>
    <t>Tách config khỏi war/package (đọc từ env/file mount)</t>
  </si>
  <si>
    <t>Tách cron/scheduler chạy độc lập (hoặc disable theo env)</t>
  </si>
  <si>
    <t>Đổi log file → log console (mặc định)</t>
  </si>
  <si>
    <t>Tạo Dockerfile + base image + .dockerignore + mount config/log/share + chạy thử</t>
  </si>
  <si>
    <r>
      <t xml:space="preserve">Tạo </t>
    </r>
    <r>
      <rPr>
        <sz val="10"/>
        <color theme="1"/>
        <rFont val="Arial Unicode MS"/>
        <family val="2"/>
      </rPr>
      <t>.gitlab-ci.yml</t>
    </r>
    <r>
      <rPr>
        <sz val="11"/>
        <color theme="1"/>
        <rFont val="Aptos Narrow"/>
        <family val="2"/>
        <scheme val="minor"/>
      </rPr>
      <t xml:space="preserve"> + cấu hình Runner/Variables</t>
    </r>
  </si>
  <si>
    <t>Sửa base pipeline nếu không đáp ứng</t>
  </si>
  <si>
    <t>Cấu hình Harbor integration (admin)</t>
  </si>
  <si>
    <t xml:space="preserve">⭐Focus đợt này: Container + CI/CD On-Prem </t>
  </si>
  <si>
    <t>Cấu hình Ansible (admin)</t>
  </si>
  <si>
    <r>
      <t xml:space="preserve">Danh sách file </t>
    </r>
    <r>
      <rPr>
        <b/>
        <sz val="11"/>
        <color rgb="FF000000"/>
        <rFont val="Aptos"/>
        <family val="2"/>
      </rPr>
      <t>server</t>
    </r>
    <r>
      <rPr>
        <sz val="11"/>
        <color rgb="FF000000"/>
        <rFont val="Aptos"/>
        <family val="2"/>
      </rPr>
      <t> config (tên + vị trí)</t>
    </r>
  </si>
  <si>
    <r>
      <t xml:space="preserve">Danh sách file </t>
    </r>
    <r>
      <rPr>
        <b/>
        <sz val="11"/>
        <color rgb="FF000000"/>
        <rFont val="Aptos"/>
        <family val="2"/>
      </rPr>
      <t>application</t>
    </r>
    <r>
      <rPr>
        <sz val="11"/>
        <color rgb="FF000000"/>
        <rFont val="Aptos"/>
        <family val="2"/>
      </rPr>
      <t> config (tên + vị trí)</t>
    </r>
  </si>
  <si>
    <t>Implement feature flags pathInDatabaseMode, để convert đường dẫn khi runtime trên production. Có 4 giá trị: 0,1,2,3 (0: dev - no convert , 1: convert from database, 2: đã convert rồi, 3: lưu đường dẫn tương đối chỉ folder-name)
Trước: đường dẫn network drive, ví dụ: //ip:port/folder-name
Sau: /mnt/folder-name (mnt: mount)</t>
  </si>
  <si>
    <t>Dùng class FileServerUtil để convert những đường dẫn folder share trên, trước khi đọc ghi files.</t>
  </si>
  <si>
    <t>ACE</t>
  </si>
  <si>
    <t>Framework</t>
  </si>
  <si>
    <t>Steps</t>
  </si>
  <si>
    <t>Spring Boot</t>
  </si>
  <si>
    <t>https://git.dai-ichi-life.com.vn/dlvn/microservices/distribution/servicing/customer-servicing/system-availability-service/-/tree/feature/sr20537-send-notifi-system-maintenance?ref_type=heads</t>
  </si>
  <si>
    <t>https://git.dai-ichi-life.com.vn/dlvn/d-connect-system/d-connect-backend</t>
  </si>
  <si>
    <t>Copy files: .gitlab-ci.yml, Dockerfile, FlowSettings.override --&gt; Replace name bên trong 2 file Dockerfile, FlowSettings.override</t>
  </si>
  <si>
    <t>Ghi chú</t>
  </si>
  <si>
    <t>Thường có nhu cầu chạy song song on-prem và cloud (đối với những project Replatform). Có kết hợp F5 để config load balancing cho 2 môi trường On-prem và OpenShift, trường hợp Cloud lỗi thì config đưa về On-prem thôi để đảm bảo tính ổn định.</t>
  </si>
  <si>
    <t>Tham khảo từ những cái project đã làm, kết hợp thêm official document 
Copy files: .gitlab-ci.yml, Dockerfile, Dockerfile-openshift
- Dockerfile: build artifacts chạy on-prem
- Dockerfile-openshift: bao gồm bước build của Dockerfile trên và bao gồm bước runtime</t>
  </si>
  <si>
    <t>.NET</t>
  </si>
  <si>
    <t>React - NextJS</t>
  </si>
  <si>
    <t>ReactJS</t>
  </si>
  <si>
    <t>https://git.dai-ichi-life.com.vn/dlvn/d-connect-system/d-connect-edoctor</t>
  </si>
  <si>
    <t>https://git.dai-ichi-life.com.vn/dlvn/d-success-system/d-success-frontend</t>
  </si>
  <si>
    <t>Copy files: .gitlab-ci.yml, Dockerfile, Dockerfile-openshift, .dockerignore</t>
  </si>
  <si>
    <t>Copy files: .gitlab-ci.yml, Dockerfile, Dockerfile-openshift,  .dockerignore</t>
  </si>
  <si>
    <t>https://git.dai-ichi-life.com.vn/dlvn/insight-system/insight-identity-service</t>
  </si>
  <si>
    <t>Cấu hình Gitlab CI:
  + Settings -&gt; CICD -&gt; Runners (tạo Runner trên Server và settings)
  + Settings -&gt; CICD -&gt; Variables.</t>
  </si>
  <si>
    <t>Tạo Runner trên server bằng commandline
Configure Runner, Variables trên GitLab repository.</t>
  </si>
  <si>
    <t>Viết .gilab-ci.yml trong từng project cần thực hiện CI (copy file mẫu từ project khác nếu đã làm rồi).
Trường hợp chưa có file mẫu, cần viết base pipeline mới ở bước base pipeline bên dưới.</t>
  </si>
  <si>
    <t>https://elkace.dai-ichi-life.com.vn/</t>
  </si>
  <si>
    <t>Elastic Search (ELK)</t>
  </si>
  <si>
    <t>Linux</t>
  </si>
  <si>
    <t>10.166.0.123</t>
  </si>
  <si>
    <t>10.166.2.74</t>
  </si>
  <si>
    <t>https://hoslabdevopsasb.dai-ichi-life.com.vn/
10.166.2.28</t>
  </si>
  <si>
    <t>admin/Ansible@12345$</t>
  </si>
  <si>
    <t>RedHat Ansible (AAP)</t>
  </si>
  <si>
    <t>https://console-openshift-console.apps.osclibmprd.dai-ichi-life.com.vn/</t>
  </si>
  <si>
    <t>https://console-openshift-console.apps.osclsit.dai-ichi-life.com.vn/</t>
  </si>
  <si>
    <t>https://oauth-openshift.apps.oscldev.dai-ichi-life.com.vn/</t>
  </si>
  <si>
    <t>RedHat OpenShift (OCP)
+ ArgoCD</t>
  </si>
  <si>
    <t>https://registry.dai-ichi-life.com.vn/</t>
  </si>
  <si>
    <t>Lưu trữ image container trong quá trình CI/CD</t>
  </si>
  <si>
    <t>Harbor Registry</t>
  </si>
  <si>
    <t>10.166.4.27</t>
  </si>
  <si>
    <t>10.166.2.18</t>
  </si>
  <si>
    <t>Thực hiện quá trình build source code, package được trigger từ GitLab CI</t>
  </si>
  <si>
    <t>GitLab Runner</t>
  </si>
  <si>
    <t>https://git.dai-ichi-life.com.vn/</t>
  </si>
  <si>
    <t>10.166.2.118</t>
  </si>
  <si>
    <t>https://gitlabtest.dai-ichi-life.com.vn/</t>
  </si>
  <si>
    <t>GitLab</t>
  </si>
  <si>
    <t>https://ad-portaluat.dai-ichi-life.com.vn/
10.166.2.67</t>
  </si>
  <si>
    <t>/var/www/html
stop/start httpd service (# systemctl restart httpd)</t>
  </si>
  <si>
    <t>Apache/2.4.53 httpd</t>
  </si>
  <si>
    <t>JavaScript</t>
  </si>
  <si>
    <t>React</t>
  </si>
  <si>
    <t>Web App ADPortal
*Backend API dùng chung D-Success</t>
  </si>
  <si>
    <t>Containers</t>
  </si>
  <si>
    <t>Java</t>
  </si>
  <si>
    <t>IBM ACE</t>
  </si>
  <si>
    <r>
      <t>API of IBM ACE (</t>
    </r>
    <r>
      <rPr>
        <sz val="11"/>
        <color rgb="FFC00000"/>
        <rFont val="Aptos Narrow"/>
        <family val="2"/>
        <scheme val="minor"/>
      </rPr>
      <t>iib-mobile-ace-uat-ir</t>
    </r>
    <r>
      <rPr>
        <sz val="11"/>
        <color theme="1"/>
        <rFont val="Aptos Narrow"/>
        <family val="2"/>
        <scheme val="minor"/>
      </rPr>
      <t>)</t>
    </r>
  </si>
  <si>
    <t>10.166.2.154/ODSUAT02</t>
  </si>
  <si>
    <t>jdbc:db2://dbuat_ods.dai-ichi-life.com.vn:50000/ODSUAT02</t>
  </si>
  <si>
    <t>DB2 11.5</t>
  </si>
  <si>
    <t>Database ODS</t>
  </si>
  <si>
    <t>10.166.2.232</t>
  </si>
  <si>
    <t>jdbc:sqlserver://dbuat_dsuccess.dai-ichi-life.com.vn:1433;databaseName=dsuccessuat</t>
  </si>
  <si>
    <t>MSSQL 2022</t>
  </si>
  <si>
    <r>
      <t xml:space="preserve">Database </t>
    </r>
    <r>
      <rPr>
        <b/>
        <sz val="11"/>
        <color theme="1"/>
        <rFont val="Aptos Narrow"/>
        <family val="2"/>
        <scheme val="minor"/>
      </rPr>
      <t>dsuccess</t>
    </r>
  </si>
  <si>
    <t>Windows</t>
  </si>
  <si>
    <t>ecv4ds
erecuirment</t>
  </si>
  <si>
    <t>IIS WebServer</t>
  </si>
  <si>
    <t>eCV for D-Success</t>
  </si>
  <si>
    <t>eapp4ds</t>
  </si>
  <si>
    <t>eApp for D-Success</t>
  </si>
  <si>
    <t>10.166.2.22</t>
  </si>
  <si>
    <t>10.166.2.237</t>
  </si>
  <si>
    <t>/opt/jboss/jboss-eap-7.3/standalone/deployments/api.war</t>
  </si>
  <si>
    <t>JBoss EAP 7.3</t>
  </si>
  <si>
    <t>API D-Success</t>
  </si>
  <si>
    <t>http://10.166.2.22:8080/admin/
10.166.2.22</t>
  </si>
  <si>
    <t>/opt/jboss/jboss-eap-7.3/standalone/deployments/admin.war</t>
  </si>
  <si>
    <t>Web App D-Success for Admin</t>
  </si>
  <si>
    <t>https://dsuccessuat.dai-ichi-life.com.vn/
10.166.2.21</t>
  </si>
  <si>
    <t>Web App D-Success for User</t>
  </si>
  <si>
    <t>D-Success</t>
  </si>
  <si>
    <r>
      <t>API of IBM ACE (</t>
    </r>
    <r>
      <rPr>
        <sz val="11"/>
        <color rgb="FFC00000"/>
        <rFont val="Aptos Narrow"/>
        <family val="2"/>
        <scheme val="minor"/>
      </rPr>
      <t>iib-cp-ace-uat-ir</t>
    </r>
    <r>
      <rPr>
        <sz val="11"/>
        <color theme="1"/>
        <rFont val="Aptos Narrow"/>
        <family val="2"/>
        <scheme val="minor"/>
      </rPr>
      <t>)</t>
    </r>
  </si>
  <si>
    <t>10.166.0.14, 10.166.0.69</t>
  </si>
  <si>
    <t>Source của đối tác deploy trên server DLVN</t>
  </si>
  <si>
    <t>Node.js</t>
  </si>
  <si>
    <t>npm/Node.js</t>
  </si>
  <si>
    <t>eDoctor - Tư vấn sức khỏe</t>
  </si>
  <si>
    <t>IBM Linux Power</t>
  </si>
  <si>
    <t>10.166.0.190/ODSPRD</t>
  </si>
  <si>
    <t>jdbc:db2://10.166.2.154:50000/ODSUAT02</t>
  </si>
  <si>
    <t>10.166.1.45</t>
  </si>
  <si>
    <t>10.166.2.157
ansible_user / QmYWv2v9cfgZUb3YceLE</t>
  </si>
  <si>
    <t>10.166.2.157</t>
  </si>
  <si>
    <t>jdbc:sqlserver://10.166.2.157:1433;databaseName=mCP</t>
  </si>
  <si>
    <r>
      <t xml:space="preserve">Database </t>
    </r>
    <r>
      <rPr>
        <b/>
        <sz val="11"/>
        <color theme="1"/>
        <rFont val="Aptos Narrow"/>
        <family val="2"/>
        <scheme val="minor"/>
      </rPr>
      <t>mCP</t>
    </r>
  </si>
  <si>
    <t>10.166.1.30</t>
  </si>
  <si>
    <t>jdbc:sqlserver://dbuat_centdb.dai-ichi-life.com.vn:1433;databaseName=CentDB</t>
  </si>
  <si>
    <r>
      <t xml:space="preserve">Database </t>
    </r>
    <r>
      <rPr>
        <b/>
        <sz val="11"/>
        <color theme="1"/>
        <rFont val="Aptos Narrow"/>
        <family val="2"/>
        <scheme val="minor"/>
      </rPr>
      <t>centdb</t>
    </r>
  </si>
  <si>
    <t>jdbc:sqlserver://dbuat_cportal.dai-ichi-life.com.vn:1433;databaseName=Cportal</t>
  </si>
  <si>
    <r>
      <rPr>
        <sz val="11"/>
        <color rgb="FF000000"/>
        <rFont val="Aptos Narrow"/>
        <family val="2"/>
        <scheme val="minor"/>
      </rPr>
      <t xml:space="preserve">Database </t>
    </r>
    <r>
      <rPr>
        <b/>
        <sz val="11"/>
        <color rgb="FF000000"/>
        <rFont val="Aptos Narrow"/>
        <family val="2"/>
        <scheme val="minor"/>
      </rPr>
      <t>cportal</t>
    </r>
  </si>
  <si>
    <t>10.166.2.37</t>
  </si>
  <si>
    <t>10.166.2.55</t>
  </si>
  <si>
    <t>Start .jar file with port 8081
⯈ E:\dc-partner</t>
  </si>
  <si>
    <t>JVM</t>
  </si>
  <si>
    <t>API D-Connect Parner (irace, aktivolabs)</t>
  </si>
  <si>
    <t>Promote Guide xin SA</t>
  </si>
  <si>
    <t>Start .jar file with port 8080
⯈ E:\d-connect</t>
  </si>
  <si>
    <t>API D-Connect Backend Service</t>
  </si>
  <si>
    <t>https://kh.dai-ichi-life.com.vn/
10.166.0.14, 10.166.0.69</t>
  </si>
  <si>
    <t>https://khuat.dai-ichi-life.com.vn/
10.166.2.37</t>
  </si>
  <si>
    <t>https://khpentest.dai-ichi-life.com.vn/
10.166.2.55</t>
  </si>
  <si>
    <r>
      <rPr>
        <u/>
        <sz val="11"/>
        <color theme="1"/>
        <rFont val="Aptos Narrow"/>
        <family val="2"/>
        <scheme val="minor"/>
      </rPr>
      <t>⯈ Login Web:</t>
    </r>
    <r>
      <rPr>
        <sz val="11"/>
        <color theme="1"/>
        <rFont val="Aptos Narrow"/>
        <family val="2"/>
        <scheme val="minor"/>
      </rPr>
      <t xml:space="preserve">
https://khpentest.dai-ichi-life.com.vn/
Mã KH: 0002375090  
Mật khẩu: 123456789
</t>
    </r>
    <r>
      <rPr>
        <u/>
        <sz val="11"/>
        <color theme="1"/>
        <rFont val="Aptos Narrow"/>
        <family val="2"/>
        <scheme val="minor"/>
      </rPr>
      <t>⯈ RemoteDesktop to Server:</t>
    </r>
    <r>
      <rPr>
        <sz val="11"/>
        <color theme="1"/>
        <rFont val="Aptos Narrow"/>
        <family val="2"/>
        <scheme val="minor"/>
      </rPr>
      <t xml:space="preserve">
IP: 10.166.2.55
Username: Administrator
Password: P@ssw0rd
SA PIC1: Tuong, Nguyen Phuc Kien [Tech/IT SA]
SA PIC2: Phong, Nguyen Hoai [Tech/IT OPs &amp; Client Services]
⯈ E:\d-connect-web\build</t>
    </r>
  </si>
  <si>
    <t>Web App D-Connect Frontend</t>
  </si>
  <si>
    <t>D-Connect</t>
  </si>
  <si>
    <t>OSType</t>
  </si>
  <si>
    <t>PROD Env. Server</t>
  </si>
  <si>
    <t>UAT Env. Server</t>
  </si>
  <si>
    <t>DevOps Env. Server</t>
  </si>
  <si>
    <t>Remark</t>
  </si>
  <si>
    <t>Platform Runtime</t>
  </si>
  <si>
    <t>Language</t>
  </si>
  <si>
    <t xml:space="preserve">Framework </t>
  </si>
  <si>
    <t>Component</t>
  </si>
  <si>
    <t>SystemName</t>
  </si>
  <si>
    <t>Liệt kê các config đường dẫn folder:</t>
  </si>
  <si>
    <t>  + Lưu config ở đâu?</t>
  </si>
  <si>
    <t>  + Có đọc/ghi file?</t>
  </si>
  <si>
    <t>Chuyển đổi thành containerized app (run with Dockerfile):</t>
  </si>
  <si>
    <t>  + Tạo/search base image.</t>
  </si>
  <si>
    <t>  + Mount thư mục share (qmulo,...), config, log.</t>
  </si>
  <si>
    <t>  + File .dockerignore.</t>
  </si>
  <si>
    <t>Tạo file .gitlab-ci.yml để chạy pipeline.Cấu hình Gitlab CI:</t>
  </si>
  <si>
    <t>Hoàn thiện tích hợp full luồng CICD với GitlabCI, ArgoCD và OpenShift</t>
  </si>
  <si>
    <t>Mapping Task</t>
  </si>
  <si>
    <t>Path mapping</t>
  </si>
  <si>
    <t>mounted path, app path</t>
  </si>
  <si>
    <t>Configure GitLab CI</t>
  </si>
  <si>
    <t>GitLab Runner set up on server
Repository variables configured</t>
  </si>
  <si>
    <t>Access to GitLab repository, server credentials</t>
  </si>
  <si>
    <t>Identify configuration files for application components in the local or development environment.</t>
  </si>
  <si>
    <t>Identify configuration files for application components in the UAT or production environment.</t>
  </si>
  <si>
    <t>Configure the app to log to console instead of files so a logging agent can collect logs from pods and send them to a centralized logging system.</t>
  </si>
  <si>
    <t>Create configuration files for each environment in the repository.</t>
  </si>
  <si>
    <t>Architecture Diagram</t>
  </si>
  <si>
    <t>Create and provide a high-level architecture diagram showing system components, their interactions, and dependencies.</t>
  </si>
  <si>
    <t>Review the Application Inventory document (Components Technology Stack sheet) to list all application components, including web apps, backend services, APIs, databases, and external integrations.</t>
  </si>
  <si>
    <t>Application Inventory Document</t>
  </si>
  <si>
    <t>DevOps Form</t>
  </si>
  <si>
    <t>Identify Outbound Connectivity</t>
  </si>
  <si>
    <t>Provide System Architecture</t>
  </si>
  <si>
    <t>Provide Operation Documentation</t>
  </si>
  <si>
    <t>Manage Application Configuration</t>
  </si>
  <si>
    <t>Identify Filesystem &amp; Storage</t>
  </si>
  <si>
    <t>Configure Path Mapping</t>
  </si>
  <si>
    <t>Review Scheduled Jobs</t>
  </si>
  <si>
    <t>Build Application Container</t>
  </si>
  <si>
    <t>Create GitLab Group Access Token</t>
  </si>
  <si>
    <t>Manage Harbor Projects &amp; Permissions</t>
  </si>
  <si>
    <t>Update CI Base Pipeline</t>
  </si>
  <si>
    <t>Configure GitLab CI Runner &amp; Variables</t>
  </si>
  <si>
    <t>Configure Image Pull Secrets</t>
  </si>
  <si>
    <t>Configure Traffic Routing</t>
  </si>
  <si>
    <r>
      <t xml:space="preserve">Có 2 dạng base: base theo framework, base chung cho tất cả framework.
pipeline-maven/maven-openshift.gitlab-ci.yml
base.gitlab-ci.yml - đề xuất CODEOWNER của file là anh Trực.
Copy từ một base pipeline hiện có, giữ nguyên cấu trúc (includes, stages, validation, prepare-build, build, update-buildversion, deploy), chỉ thay đổi các stages: 
- prepare-build
- build
     - có phần ghi đè giá trị biến môi trường (ApplicationConfig)
</t>
    </r>
    <r>
      <rPr>
        <sz val="11"/>
        <color rgb="FFFF0000"/>
        <rFont val="Aptos Narrow"/>
        <family val="2"/>
        <scheme val="minor"/>
      </rPr>
      <t xml:space="preserve">     - xem lại hiểu những điểm chung cần làm trong stage build để viết guideline</t>
    </r>
    <r>
      <rPr>
        <sz val="11"/>
        <color theme="1"/>
        <rFont val="Aptos Narrow"/>
        <family val="2"/>
        <scheme val="minor"/>
      </rPr>
      <t xml:space="preserve">
Lưu ý: cấu trúc chuẩn có thể thay đổi trong tương lai (bổ sung các stage: scan code, unit test, ....)</t>
    </r>
  </si>
  <si>
    <t>Configuration Form</t>
  </si>
  <si>
    <t>Create application configuration override repository</t>
  </si>
  <si>
    <t>Init application configuration override</t>
  </si>
  <si>
    <t>Update application configuration override</t>
  </si>
  <si>
    <t>Application Configuration Files</t>
  </si>
  <si>
    <t>Update configuration files for each environment in the repository.</t>
  </si>
  <si>
    <t>Create Helm Charts repositories</t>
  </si>
  <si>
    <t>GitOps/UAT/HelmChart Repository
GitOps/PRD/HelmChart Repository</t>
  </si>
  <si>
    <t>Provide Configuration (Local/DEV)</t>
  </si>
  <si>
    <t>Provide Configuration (UAT/PRD)</t>
  </si>
  <si>
    <t>Update Helm Charts</t>
  </si>
  <si>
    <t>Created Helm Chart</t>
  </si>
  <si>
    <t>Updated Helm Chart</t>
  </si>
  <si>
    <t>GitLab System Group Name</t>
  </si>
  <si>
    <t>Is Documented</t>
  </si>
  <si>
    <t>Done</t>
  </si>
  <si>
    <t>To Do</t>
  </si>
  <si>
    <t>Confirm with both the local DEV and UAT SA to ensure the file locations are consistent, as files may be stored differently between local and UAT environments.</t>
  </si>
  <si>
    <t>Verify and Align Configuration Files Across Environments</t>
  </si>
  <si>
    <t>Updated Configuration Form</t>
  </si>
  <si>
    <t>Description</t>
  </si>
  <si>
    <t>What/Why</t>
  </si>
  <si>
    <t>Ensure no config files are missing, prevent runtime errors, and maintain consistent file management across environments.</t>
  </si>
  <si>
    <t>Allows flexible config management across environments without rebuilding the app and ensures correct mounting in CI/CD deployments.</t>
  </si>
  <si>
    <t>Identify direct filesystem usage (Qumulo) and determine the need for persistent storage mapping (PVC)</t>
  </si>
  <si>
    <t>Ensure correct access and permissions for shared storage, replicate filesystem behavior in OpenShift, and prevent runtime errors due to missing or inaccessible folders.</t>
  </si>
  <si>
    <t>Ensures the app reads/writes files correctly in production containers, handling dev vs. converted vs. relative paths consistently.</t>
  </si>
  <si>
    <t>Implement path conversion using FileServerUtil with feature flags (pathInDatabaseMode) to map shared folder paths from network drives to container mount paths at runtime.</t>
  </si>
  <si>
    <t>Review scheduled tasks and modify the app to add a config flag (in .config file or environment variable) to enable/disable scheduled jobs, allowing separate deployments for the app and for jobs via Helm Chart.</t>
  </si>
  <si>
    <t>Ensures scheduled jobs run independently from the main application, enabling flexible deployment and easier management on OpenShift.</t>
  </si>
  <si>
    <t>Allows a logging agent (OpenShift) to collect pod logs automatically and forward them to centralized logging system (ELK), ensuring centralized log management for CI/CD environments.</t>
  </si>
  <si>
    <t>Enables CI/CD pipelines to securely push updates to the Helm Chart repo without</t>
  </si>
  <si>
    <t>Ensure the CI/CD pipeline can securely store and access images, keep naming consistent with Git, and maintain clear permissions.</t>
  </si>
  <si>
    <t>Slug name of GitLab repositories of application components</t>
  </si>
  <si>
    <t>Provides a centralized, environment-specific place to store configuration overrides, making management and versioning easier.</t>
  </si>
  <si>
    <t>Establishes the baseline configuration for each environment, ensuring CI/CD pipelines have the correct environment settings.</t>
  </si>
  <si>
    <t>Keeps environment-specific settings up to date at all times, ensuring deployments always run with the correct configuration.</t>
  </si>
  <si>
    <t>Ensure version-controlled Helm charts for automated OpenShift deployments with correct configuration and persistent data.</t>
  </si>
  <si>
    <t>on prem</t>
  </si>
  <si>
    <t>build - create artifact - copy - tar (zip) - push vào harbor</t>
  </si>
  <si>
    <t>build - openshift</t>
  </si>
  <si>
    <t>riêng react thì luôn build 2 môi trường UAT và PRD - lí do là vì chỉ trigger build 1 lần tại thời điểm UAT (merge dev -&gt; to uat) do đó phải chuẩn bị 2 artifacts: UAT và PRD ngay tại thời điểm này.</t>
  </si>
  <si>
    <t xml:space="preserve">do react nạp config lúc build, nên phải copy config từ repo ManagementConfig và ghi đè vô source code để chuẩn bị .env và index.html (optional) - build </t>
  </si>
  <si>
    <t>các loại khác thì đọc config trong lúc runtime, không phải nạp lúc build như react.</t>
  </si>
  <si>
    <t>x</t>
  </si>
  <si>
    <t>Yêu cầu dev enhance thêm cờ config  (ví dụ thêm cờ trong file .config hoặc biến môi trường) để nó chạy hoặc không chạy để khi deploy trên OpenShift sẽ tách ra thành 2 deployment (2 Helm Chart), 1 deployment chỉ chạy ứng dụng, 1 deployment chỉ chạy job. Tạo tiền đề để thêm config vào HELM Chart.</t>
  </si>
  <si>
    <r>
      <rPr>
        <b/>
        <sz val="11"/>
        <color theme="1"/>
        <rFont val="Aptos Narrow"/>
        <family val="2"/>
        <scheme val="minor"/>
      </rPr>
      <t>Đã làm một lần và duy nhất rồ</t>
    </r>
    <r>
      <rPr>
        <sz val="11"/>
        <color theme="1"/>
        <rFont val="Aptos Narrow"/>
        <family val="2"/>
        <scheme val="minor"/>
      </rPr>
      <t>i HARBOR_HOST, HARBOR_USERNAME, HARBOR_PASSWORD
Không bao giờ hết hạn</t>
    </r>
  </si>
  <si>
    <t>CI  on OpenShift</t>
  </si>
  <si>
    <t>https://git.dai-ichi-life.com.vn/management-config/uat/application-config/ad-portal-frontend-config/-/blob/main/build-nodejs/.env.uat?ref_type=heads
https://git.dai-ichi-life.com.vn/management-config/uat/application-config/d-connect-backend-config/-/blob/main/deploy-jvm/application.properties.uat?ref_type=heads
https://git.dai-ichi-life.com.vn/gitops/uat/helm-chart-d-connect-system-uat/-/blob/main/d-connect-backend/values.uat.yaml?ref_type=heads</t>
  </si>
  <si>
    <t>Trường hợp On-Prem 
- tất cả file config đều nằm trong các repo này
Đối với cả OpenShift và On-Prem
- Nodejs, thì các config sẽ được lưu khi build
F.Y.I: 
Trường hợp OpenShift:
- tất cả file config đều nằm trong Helm Chart (on-prem có tên file như thế nào thì trong helm chart sẽ có object tên file tương tự, ví dụ: application.properties) - ưu tiên tên chuẩn (có 1 số trường hợp tên file config trong source code không chuẩn ví dụ logback.xml or logback-spring.xml</t>
  </si>
  <si>
    <t>CD on On-Prem
CI OpenShift(node.js)</t>
  </si>
  <si>
    <t>Cung cấp các bước để build</t>
  </si>
  <si>
    <t>Thông thường là 1 lệnh command line</t>
  </si>
  <si>
    <t>Build Steps</t>
  </si>
  <si>
    <t>CD On-Prem</t>
  </si>
  <si>
    <t>Tạo folder cho dự án trong repo AnsiblePlaybookUAT và các file manifest (yaml) để chạy trên Ansible</t>
  </si>
  <si>
    <t>Set up credentials trên Ansible</t>
  </si>
  <si>
    <t>Ví dụ sử dụng laptop cũng cần user để login, tương tự Ansible cũng cần 1 remote user để login vào server (host)
Cụ thể bước làm anh Trực không biết hỏi anh Tuấn (vào Linux Server tạo user rồi cấp quyền cho nó) --&gt; liệt kê kỹ lại các quyền vì đã từng có các trường hợp thiếu quyền.</t>
  </si>
  <si>
    <t>Set up host trên Ansible</t>
  </si>
  <si>
    <t>Set up user trên server cần deploy, để lấy user đó config trên Ansible</t>
  </si>
  <si>
    <t>Tạo username/password của user vừa tạo ở bước trên vào danh sách credentials trên Ansible để Ansible sử dụng account này remote login vào server.</t>
  </si>
  <si>
    <t>Tạo host (hostname/ip address/port/credentials đã tạo ở trên) trong danh sách host trên Ansible để Ansible sử dụng để kết nối vào server cần deploy.</t>
  </si>
  <si>
    <t>Set up credential type trên Ansible</t>
  </si>
  <si>
    <t>Tạo project trên Ansible</t>
  </si>
  <si>
    <t>Tương ứng 1 Git Playbook sẽ có 1  Project - Project này sẽ đọc Git Playbook</t>
  </si>
  <si>
    <t>Anh Trực không nhớ có chắc là đã đủ bước chưa</t>
  </si>
  <si>
    <t>Tạo Team nếu chưa có</t>
  </si>
  <si>
    <t>Truy cập Access Management/Team để tạo team tương ứng với Agile Team</t>
  </si>
  <si>
    <t xml:space="preserve">Yêu cầu Dev Login bằng LDAP </t>
  </si>
  <si>
    <t>Nếu Dev chưa login thì yêu cầu, login rồi thì không cần.</t>
  </si>
  <si>
    <t>Add user vô Team</t>
  </si>
  <si>
    <t>Add Role trong Team (Cấp quyền Team vô Playbook)</t>
  </si>
  <si>
    <t>Tạo template (JobTemplate) trên Ansible</t>
  </si>
  <si>
    <t>SA (hiện tại là anh Tuấn)</t>
  </si>
  <si>
    <t>SA (hiện tại UAT anh Trực, PRD là anh Tuấn)</t>
  </si>
  <si>
    <t>Trong template đó sẽ bao gồm: inventory, project, playbook, credentials, extra variables,.
Survey (host, môi trường uat, uat1, uat2, uat3) dùng để cho người dùng chọn deploy môi trường nào.
Cần có các bước trên mới làm được bước này</t>
  </si>
  <si>
    <t xml:space="preserve">Tạo 1 file manifest theo pattern &lt;project-slug-name&gt;-on-premise-playbook.yaml
Copy 1 file template đã có sẵn theo từng loại: 
- frontend
- dotnet
- java spring
Mỗi file có những cấu trúc sau:
name
host
vars
tasks:
- Task râu ria (ví dụ: Settings, backup-folder, tùy biến theo từng project)
- Task chính Deploy gồm các task nhỏ:
    - Oras Pull Artifacts
   - Git Clone Application Configuration
   - Những bước deploy thực tế tùy dự án khác nhau, ví dụ copy hiện tại, Backup hiện tại, Stop Server, Delete cái hiện tại, Copy mới ghi đè vô, Start, Verify (xem no đã start chưa)
   - Post tasks (Logout ORAS, Delete temp folder, Retention (xóa những bản backup cũ và giữ 5 cái gần nhất) </t>
  </si>
  <si>
    <t>Enable automated and secure CI execution.</t>
  </si>
  <si>
    <t>Maintain consistency, enable reuse, and support flexible project-specific needs.</t>
  </si>
  <si>
    <t>Enable automated and consistent CI execution.</t>
  </si>
  <si>
    <t>Ensure traceability, and secure deployment management.</t>
  </si>
  <si>
    <t>Enable secure image pulls from the private registry.</t>
  </si>
  <si>
    <t>Enable standardized and automated deployments.</t>
  </si>
  <si>
    <t>Keep deployments accurate and up to date.</t>
  </si>
  <si>
    <t>Tạo project HelmChart theo Subgroup System
- Pattern Name: HelmChart&lt;SubGroupName&gt;&lt;Uat/Prd&gt;
- Tạo folder theo project-slug
- Tạo cấu trúc bên trong folder theo chuẩn Helm Charts:
   +  builds
   +  templates
   +  .helmignore
   +  Chart.yaml
   + values.uat-scheduler.yaml (optional tùy theo project)
   + values.uat.yaml
   + values.yaml (file gốc)
Develop Helm
builds:
- tạo file &lt;project-slug&gt;-&lt;env (uat/uat1/prd&gt;.buildversion
templates: có 2 nhóm chính: ACE và khác ACE
- templates khác ACE, gồm các files như hình bên cạnh (giữ nguyên hoặc custom khi có nhu cầu)
- .helmignore; giữ nguyên
- Chart.yaml: chỉ sửa name
- values.uat.yaml / values.yaml / values.uat-scheduler.yaml: copy mẫu, xóa những key không cần thiết, giữ những key cần.
Cơ chế của Helm là:
- file values.yaml là file gốc chứa all key và default value
- files values.env(uat/uat-scheduler, uat1,...) sẽ ghi đè những giá trị của file value này lên file gốc 
Thứ tự định nghĩa trong lúc tạo app trên ArgoCD sẽ là dạng chọn multiple value dropdownlist: 
- values.yaml, values.uat.yaml
Như vậy Argo sẽ hiểu là nạp values.yaml trước sau đó ghi đè values.uat (từ trái sang phải)</t>
  </si>
  <si>
    <t>Configure File Logging to Console Log
CD on OpenShift</t>
  </si>
  <si>
    <t>Update Source Code
CD on OpenShift</t>
  </si>
  <si>
    <t>Collect Information for Helm Chart
CD on OpenShift</t>
  </si>
  <si>
    <t>Route
CD on OpenShift</t>
  </si>
  <si>
    <t>- Argo CD Project created
- Argo CD Application created
- Helm chart &amp; values configured
- Sync policy configured
- LDAP access roles assigned</t>
  </si>
  <si>
    <t>To enable controlled and automated deployments to OpenShift while allowing the team to monitor and manage releases securely.</t>
  </si>
  <si>
    <t>To ensure stable and seamless access to applications, and support failover or parallel routing between on-prem and OpenShift environments.</t>
  </si>
  <si>
    <t>Collect Information for Dockerfile
CD</t>
  </si>
  <si>
    <t>Update Source Code
CD</t>
  </si>
  <si>
    <r>
      <t xml:space="preserve">Develop Helm charts following the </t>
    </r>
    <r>
      <rPr>
        <b/>
        <sz val="11"/>
        <color theme="1"/>
        <rFont val="Aptos Narrow"/>
        <family val="2"/>
        <scheme val="minor"/>
      </rPr>
      <t>DevOps Engineering Standards</t>
    </r>
    <r>
      <rPr>
        <sz val="11"/>
        <color theme="1"/>
        <rFont val="Aptos Narrow"/>
        <family val="2"/>
        <scheme val="minor"/>
      </rPr>
      <t xml:space="preserve"> document</t>
    </r>
  </si>
  <si>
    <r>
      <t xml:space="preserve">Modify the CI base pipeline when the existing base template does not meet project requirements. Copy from an existing base pipeline and keep the standard structure. Follow common build practices and maintain guidelines ( </t>
    </r>
    <r>
      <rPr>
        <b/>
        <sz val="11"/>
        <color theme="1"/>
        <rFont val="Aptos Narrow"/>
        <family val="2"/>
        <scheme val="minor"/>
      </rPr>
      <t xml:space="preserve">DevOps Engineering Standards </t>
    </r>
    <r>
      <rPr>
        <sz val="11"/>
        <color theme="1"/>
        <rFont val="Aptos Narrow"/>
        <family val="2"/>
        <scheme val="minor"/>
      </rPr>
      <t>document)</t>
    </r>
  </si>
  <si>
    <r>
      <t>Set up GitLab CI by creating a Runner on the server and configuring repository variables (</t>
    </r>
    <r>
      <rPr>
        <b/>
        <sz val="11"/>
        <color theme="1"/>
        <rFont val="Aptos Narrow"/>
        <family val="2"/>
        <scheme val="minor"/>
      </rPr>
      <t>[Guideline]_Gitlab_Project_Setup_and_Role_Base_Access_Control.pdf</t>
    </r>
    <r>
      <rPr>
        <sz val="11"/>
        <color theme="1"/>
        <rFont val="Aptos Narrow"/>
        <family val="2"/>
        <scheme val="minor"/>
      </rPr>
      <t>)</t>
    </r>
  </si>
  <si>
    <r>
      <t xml:space="preserve">Create a Harbor project following the Git Subgroup Slug convention (e.g., d-connect-system/d-connect-backend).
Assign pull/push permissions to accounts:
- CI account: pull base images and push application images.
- OpenShift account: pull application images for deployment.
</t>
    </r>
    <r>
      <rPr>
        <b/>
        <sz val="11"/>
        <color theme="1"/>
        <rFont val="Aptos Narrow"/>
        <family val="2"/>
        <scheme val="minor"/>
      </rPr>
      <t xml:space="preserve">DevOps Operation Standards </t>
    </r>
    <r>
      <rPr>
        <sz val="11"/>
        <color theme="1"/>
        <rFont val="Aptos Narrow"/>
        <family val="2"/>
        <scheme val="minor"/>
      </rPr>
      <t>document</t>
    </r>
  </si>
  <si>
    <r>
      <t xml:space="preserve">Create OpenShift namespace and RBAC following </t>
    </r>
    <r>
      <rPr>
        <b/>
        <sz val="11"/>
        <color theme="1"/>
        <rFont val="Aptos Narrow"/>
        <family val="2"/>
        <scheme val="minor"/>
      </rPr>
      <t>DevOps Operation Standards</t>
    </r>
    <r>
      <rPr>
        <sz val="11"/>
        <color theme="1"/>
        <rFont val="Aptos Narrow"/>
        <family val="2"/>
        <scheme val="minor"/>
      </rPr>
      <t xml:space="preserve"> document</t>
    </r>
  </si>
  <si>
    <r>
      <t xml:space="preserve">Annual
Configure image pull secrets on OpenShift, GitLab Variables (Global Admin Area)  following </t>
    </r>
    <r>
      <rPr>
        <b/>
        <sz val="11"/>
        <color theme="1"/>
        <rFont val="Aptos Narrow"/>
        <family val="2"/>
        <scheme val="minor"/>
      </rPr>
      <t xml:space="preserve">DevOps Operation Standards </t>
    </r>
    <r>
      <rPr>
        <sz val="11"/>
        <color theme="1"/>
        <rFont val="Aptos Narrow"/>
        <family val="2"/>
        <scheme val="minor"/>
      </rPr>
      <t>document</t>
    </r>
  </si>
  <si>
    <r>
      <t xml:space="preserve">Follow pattern name HelmChart&lt;GitLabSystemGroupName&gt;&lt;Environment&gt;  following </t>
    </r>
    <r>
      <rPr>
        <b/>
        <sz val="11"/>
        <color theme="1"/>
        <rFont val="Aptos Narrow"/>
        <family val="2"/>
        <scheme val="minor"/>
      </rPr>
      <t>DevOps Operation Standards</t>
    </r>
    <r>
      <rPr>
        <sz val="11"/>
        <color theme="1"/>
        <rFont val="Aptos Narrow"/>
        <family val="2"/>
        <scheme val="minor"/>
      </rPr>
      <t xml:space="preserve"> document</t>
    </r>
  </si>
  <si>
    <r>
      <t xml:space="preserve">Create repositories for each environment following </t>
    </r>
    <r>
      <rPr>
        <b/>
        <sz val="11"/>
        <color theme="1"/>
        <rFont val="Aptos Narrow"/>
        <family val="2"/>
        <scheme val="minor"/>
      </rPr>
      <t>DevOps Operation Standards</t>
    </r>
    <r>
      <rPr>
        <sz val="11"/>
        <color theme="1"/>
        <rFont val="Aptos Narrow"/>
        <family val="2"/>
        <scheme val="minor"/>
      </rPr>
      <t xml:space="preserve"> document</t>
    </r>
  </si>
  <si>
    <t>Deployment Form</t>
  </si>
  <si>
    <t>Provide Build Steps</t>
  </si>
  <si>
    <t>Identify and provide the build steps and commands to compile and package the source code into deployable artifacts (files, Docker images…) when the build is executed.</t>
  </si>
  <si>
    <t>Build Form</t>
  </si>
  <si>
    <t>Build Application Aritifacts</t>
  </si>
  <si>
    <r>
      <t xml:space="preserve">Define and implement the build steps for the application, including creating </t>
    </r>
    <r>
      <rPr>
        <b/>
        <sz val="11"/>
        <color theme="1"/>
        <rFont val="Aptos Narrow"/>
        <family val="2"/>
        <scheme val="minor"/>
      </rPr>
      <t>Dockerfile</t>
    </r>
    <r>
      <rPr>
        <sz val="11"/>
        <color theme="1"/>
        <rFont val="Aptos Narrow"/>
        <family val="2"/>
        <scheme val="minor"/>
      </rPr>
      <t xml:space="preserve"> for containerized deployment or commands/scripts for On-Prem deployment. Follow best practices, configure base environment, manage shared folders/configs, and ensure steps are testable and reproducible.</t>
    </r>
  </si>
  <si>
    <t>Provides a clear, consistent, and reproducible build process that serves as the foundation for CI/CD deployments, whether deploying containers on OpenShift or artifacts on On-Prem via Ansible.</t>
  </si>
  <si>
    <t>Provide Deployment Documentation</t>
  </si>
  <si>
    <t>Ensure the CI/CD pipeline accurately replicates the real environment, reducing deployment errors and supporting reliable automated deployments.</t>
  </si>
  <si>
    <t>Move configuration files out of the packaged application (WAR/JAR) so that the application reads them from an external source—either an external path via environment variables defined in the Helm Chart or from a dedicated Application Configuration repository on GitLab storing the variables (for Ansible Playbook use cases).</t>
  </si>
  <si>
    <t>Stage</t>
  </si>
  <si>
    <t>Preparation</t>
  </si>
  <si>
    <t>Define On-Prem Deployment as Code</t>
  </si>
  <si>
    <r>
      <t xml:space="preserve">Define deployment automation for On-Prem environments by creating deployment manifests and scripts (currently implemented using Ansible playbooks) to standardize application rollout across servers.
Following </t>
    </r>
    <r>
      <rPr>
        <b/>
        <sz val="11"/>
        <color theme="1"/>
        <rFont val="Aptos Narrow"/>
        <family val="2"/>
        <scheme val="minor"/>
      </rPr>
      <t xml:space="preserve">DevOps Engineering Standards </t>
    </r>
    <r>
      <rPr>
        <sz val="11"/>
        <color theme="1"/>
        <rFont val="Aptos Narrow"/>
        <family val="2"/>
        <scheme val="minor"/>
      </rPr>
      <t>document</t>
    </r>
  </si>
  <si>
    <r>
      <t xml:space="preserve">Configure traffic routing using DataPower or F5 to map domains, IPs, and ports to OpenShift services and enable load balancing  following the </t>
    </r>
    <r>
      <rPr>
        <b/>
        <sz val="11"/>
        <color theme="1"/>
        <rFont val="Aptos Narrow"/>
        <family val="2"/>
        <scheme val="minor"/>
      </rPr>
      <t>DevOps Operation Standards</t>
    </r>
    <r>
      <rPr>
        <sz val="11"/>
        <color theme="1"/>
        <rFont val="Aptos Narrow"/>
        <family val="2"/>
        <scheme val="minor"/>
      </rPr>
      <t xml:space="preserve"> document</t>
    </r>
  </si>
  <si>
    <r>
      <t>Create the Argo CD project and application, configure the Helm chart and environment-specific values, and assign access permissions following the</t>
    </r>
    <r>
      <rPr>
        <b/>
        <sz val="11"/>
        <color theme="1"/>
        <rFont val="Aptos Narrow"/>
        <family val="2"/>
        <scheme val="minor"/>
      </rPr>
      <t xml:space="preserve"> DevOps Operation Standards</t>
    </r>
    <r>
      <rPr>
        <sz val="11"/>
        <color theme="1"/>
        <rFont val="Aptos Narrow"/>
        <family val="2"/>
        <scheme val="minor"/>
      </rPr>
      <t xml:space="preserve"> document</t>
    </r>
  </si>
  <si>
    <t>To codify the deployment process as automation so releases can be executed consistently and safely across environments, minimizing manual steps and enabling reliable Continuous Deployment.</t>
  </si>
  <si>
    <t>Ansible playbook YAML file</t>
  </si>
  <si>
    <t>CD On Premise</t>
  </si>
  <si>
    <t>CD On Cloud</t>
  </si>
  <si>
    <t>Build steps</t>
  </si>
  <si>
    <t>Prepare Server Access Account</t>
  </si>
  <si>
    <t>Allow Ansible to securely connect and execute deployment operations without using personal or root accounts.</t>
  </si>
  <si>
    <t>Configure Ansible Credentials</t>
  </si>
  <si>
    <t>Enable secure and centralized credential management for automated deployments.</t>
  </si>
  <si>
    <t>Credential entry in Ansible</t>
  </si>
  <si>
    <t>Define Credential Type</t>
  </si>
  <si>
    <t>Standardize how authentication information is structured and securely managed, enabling reusable and consistent credential configuration across projects.</t>
  </si>
  <si>
    <t>Credential Type configured in Ansible
Defined authentication fields (username/password/SSH key/etc.)</t>
  </si>
  <si>
    <t>Server Access Acount</t>
  </si>
  <si>
    <t>- Server Access Account
- Proper permissions (SSH access, sudo if required, file/service control)</t>
  </si>
  <si>
    <t>Allow Ansible to know where deployments should be executed.</t>
  </si>
  <si>
    <t>Hosts or inventory groups configured in Ansible</t>
  </si>
  <si>
    <t>Allow Ansible to fetch and version-control deployment automation scripts.</t>
  </si>
  <si>
    <t>Ansible Project connected to Git repo</t>
  </si>
  <si>
    <t>GitLab Ansible Playbook Repository</t>
  </si>
  <si>
    <t>Hostname, IP, Port, Credential</t>
  </si>
  <si>
    <t>Provide a standardized and repeatable way to trigger deployments.</t>
  </si>
  <si>
    <t>Job Template
Survey inputs (environment/host selection)</t>
  </si>
  <si>
    <t>Ensure only authorized users can trigger or manage deployments while maintaining auditability.</t>
  </si>
  <si>
    <t>Teams
LDAP users
Role assignments (read/execute/admin)</t>
  </si>
  <si>
    <t>Agile Team Name
LDAP user
Job Template</t>
  </si>
  <si>
    <t>Define Authentication Method</t>
  </si>
  <si>
    <t>Configure Deployment Credentials</t>
  </si>
  <si>
    <t>Register Target Hosts</t>
  </si>
  <si>
    <t>Register Deployment Project Repository</t>
  </si>
  <si>
    <t>Create Deployment Execution Template</t>
  </si>
  <si>
    <t>Configure Access Control</t>
  </si>
  <si>
    <t>Authentication Schema</t>
  </si>
  <si>
    <t>Inventory, Project, Playbook, Credentials, Runtime Variables</t>
  </si>
  <si>
    <t>Target Server</t>
  </si>
  <si>
    <t>Manage Artifact Registry Projects &amp; Permissions</t>
  </si>
  <si>
    <t>Add CI Pipeline Definition File</t>
  </si>
  <si>
    <t>Configure Applications &amp; Access in GitOps Controller</t>
  </si>
  <si>
    <t>Configure Deployment Namespace &amp; Access Management</t>
  </si>
  <si>
    <t>Provide application components</t>
  </si>
  <si>
    <t>Create Helm Chart repositories</t>
  </si>
  <si>
    <t xml:space="preserve">Develop Helm Chart </t>
  </si>
  <si>
    <t xml:space="preserve">Update Helm Chart </t>
  </si>
  <si>
    <r>
      <t xml:space="preserve">Create a dedicated remote user account on target servers for deployment automation and grant required permissions for application deployment tasks.
Following </t>
    </r>
    <r>
      <rPr>
        <b/>
        <sz val="11"/>
        <color theme="1"/>
        <rFont val="Aptos Narrow"/>
        <family val="2"/>
        <scheme val="minor"/>
      </rPr>
      <t xml:space="preserve">DevOps Operation Standards </t>
    </r>
    <r>
      <rPr>
        <sz val="11"/>
        <color theme="1"/>
        <rFont val="Aptos Narrow"/>
        <family val="2"/>
        <scheme val="minor"/>
      </rPr>
      <t>document</t>
    </r>
  </si>
  <si>
    <r>
      <t xml:space="preserve">Define or select the appropriate credential type in Ansible (e.g., Machine/SSH, Source Control, or custom type) to specify the authentication schema required for remote connections.
Following </t>
    </r>
    <r>
      <rPr>
        <b/>
        <sz val="11"/>
        <color theme="1"/>
        <rFont val="Aptos Narrow"/>
        <family val="2"/>
        <scheme val="minor"/>
      </rPr>
      <t xml:space="preserve">DevOps Operation Standards </t>
    </r>
    <r>
      <rPr>
        <sz val="11"/>
        <color theme="1"/>
        <rFont val="Aptos Narrow"/>
        <family val="2"/>
        <scheme val="minor"/>
      </rPr>
      <t>document</t>
    </r>
  </si>
  <si>
    <r>
      <t xml:space="preserve">Register the server access credentials (username/password or SSH key) in Ansible to authenticate remote connections.
Following </t>
    </r>
    <r>
      <rPr>
        <b/>
        <sz val="11"/>
        <color theme="1"/>
        <rFont val="Aptos Narrow"/>
        <family val="2"/>
        <scheme val="minor"/>
      </rPr>
      <t>DevOps Operation Standards</t>
    </r>
    <r>
      <rPr>
        <sz val="11"/>
        <color theme="1"/>
        <rFont val="Aptos Narrow"/>
        <family val="2"/>
        <scheme val="minor"/>
      </rPr>
      <t xml:space="preserve"> document</t>
    </r>
  </si>
  <si>
    <r>
      <t xml:space="preserve">Add target servers (hostname/IP/port/credential) into Ansible inventory for deployment targeting.
Following </t>
    </r>
    <r>
      <rPr>
        <b/>
        <sz val="11"/>
        <color theme="1"/>
        <rFont val="Aptos Narrow"/>
        <family val="2"/>
        <scheme val="minor"/>
      </rPr>
      <t xml:space="preserve">DevOps Operation Standards </t>
    </r>
    <r>
      <rPr>
        <sz val="11"/>
        <color theme="1"/>
        <rFont val="Aptos Narrow"/>
        <family val="2"/>
        <scheme val="minor"/>
      </rPr>
      <t>document</t>
    </r>
  </si>
  <si>
    <r>
      <t xml:space="preserve">Create an Ansible Project linked to the Git repository containing deployment playbooks.
Following </t>
    </r>
    <r>
      <rPr>
        <b/>
        <sz val="11"/>
        <color theme="1"/>
        <rFont val="Aptos Narrow"/>
        <family val="2"/>
        <scheme val="minor"/>
      </rPr>
      <t xml:space="preserve">DevOps Operation Standards </t>
    </r>
    <r>
      <rPr>
        <sz val="11"/>
        <color theme="1"/>
        <rFont val="Aptos Narrow"/>
        <family val="2"/>
        <scheme val="minor"/>
      </rPr>
      <t>document</t>
    </r>
  </si>
  <si>
    <r>
      <t xml:space="preserve">Create a Job Template that defines inventory, project, playbook, credentials, and runtime variables for executing deployments.
Following </t>
    </r>
    <r>
      <rPr>
        <b/>
        <sz val="11"/>
        <color theme="1"/>
        <rFont val="Aptos Narrow"/>
        <family val="2"/>
        <scheme val="minor"/>
      </rPr>
      <t xml:space="preserve">DevOps Operation Standards </t>
    </r>
    <r>
      <rPr>
        <sz val="11"/>
        <color theme="1"/>
        <rFont val="Aptos Narrow"/>
        <family val="2"/>
        <scheme val="minor"/>
      </rPr>
      <t>document</t>
    </r>
  </si>
  <si>
    <r>
      <t xml:space="preserve">Create teams, enable LDAP login, assign users, and grant appropriate roles to access deployment resources
Following </t>
    </r>
    <r>
      <rPr>
        <b/>
        <sz val="11"/>
        <color theme="1"/>
        <rFont val="Aptos Narrow"/>
        <family val="2"/>
        <scheme val="minor"/>
      </rPr>
      <t>DevOps Operation Standards</t>
    </r>
    <r>
      <rPr>
        <sz val="11"/>
        <color theme="1"/>
        <rFont val="Aptos Narrow"/>
        <family val="2"/>
        <scheme val="minor"/>
      </rPr>
      <t xml:space="preserve"> document</t>
    </r>
  </si>
  <si>
    <t>Effort</t>
  </si>
  <si>
    <t>0.5</t>
  </si>
  <si>
    <t>DevOps Engineering Standards</t>
  </si>
  <si>
    <t>DevOps Operation Standards</t>
  </si>
  <si>
    <t>This step ensures the application’s network requirements are understood, enabling accurate network policy configuration, enhanced security, and reliable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</si>
</sst>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1"/>
      <color rgb="FFFFFFFF"/>
      <name val="Cascadia Mono"/>
      <family val="3"/>
    </font>
    <font>
      <b/>
      <sz val="9"/>
      <color indexed="81"/>
      <name val="Tahoma"/>
      <family val="2"/>
    </font>
    <font>
      <b/>
      <sz val="18"/>
      <color theme="1"/>
      <name val="Aptos Narrow"/>
      <family val="2"/>
      <scheme val="minor"/>
    </font>
    <font>
      <b/>
      <sz val="13.5"/>
      <color theme="1"/>
      <name val="Aptos Narrow"/>
      <family val="2"/>
      <scheme val="minor"/>
    </font>
    <font>
      <sz val="10"/>
      <color theme="1"/>
      <name val="Arial Unicode MS"/>
      <family val="2"/>
    </font>
    <font>
      <sz val="11"/>
      <color rgb="FF000000"/>
      <name val="Aptos"/>
      <family val="2"/>
    </font>
    <font>
      <b/>
      <sz val="11"/>
      <color rgb="FF000000"/>
      <name val="Aptos"/>
      <family val="2"/>
    </font>
    <font>
      <sz val="11"/>
      <color theme="1"/>
      <name val="Aptos Narrow"/>
      <family val="2"/>
      <scheme val="minor"/>
    </font>
    <font>
      <sz val="11"/>
      <color rgb="FFFF0000"/>
      <name val="Aptos Narrow"/>
      <family val="2"/>
      <scheme val="minor"/>
    </font>
    <font>
      <sz val="12"/>
      <color theme="1"/>
      <name val="Calibri"/>
      <family val="2"/>
    </font>
    <font>
      <sz val="11"/>
      <color rgb="FFC00000"/>
      <name val="Aptos Narrow"/>
      <family val="2"/>
      <scheme val="minor"/>
    </font>
    <font>
      <sz val="11"/>
      <color theme="1"/>
      <name val="Aptos Narrow"/>
      <family val="2"/>
    </font>
    <font>
      <i/>
      <sz val="11"/>
      <color theme="1"/>
      <name val="Aptos Narrow"/>
      <family val="2"/>
      <scheme val="minor"/>
    </font>
    <font>
      <sz val="11"/>
      <color rgb="FF000000"/>
      <name val="Aptos Narrow"/>
      <family val="2"/>
      <scheme val="minor"/>
    </font>
    <font>
      <b/>
      <sz val="11"/>
      <color rgb="FF000000"/>
      <name val="Aptos Narrow"/>
      <family val="2"/>
      <scheme val="minor"/>
    </font>
    <font>
      <u/>
      <sz val="11"/>
      <color theme="1"/>
      <name val="Aptos Narrow"/>
      <family val="2"/>
      <scheme val="minor"/>
    </font>
    <font>
      <sz val="12"/>
      <color theme="0"/>
      <name val="Calibri"/>
      <family val="2"/>
    </font>
    <font>
      <sz val="9"/>
      <color indexed="81"/>
      <name val="Tahoma"/>
      <charset val="1"/>
    </font>
    <font>
      <sz val="11"/>
      <name val="Aptos Narrow"/>
      <family val="2"/>
      <scheme val="minor"/>
    </font>
    <font>
      <sz val="9"/>
      <color indexed="81"/>
      <name val="Tahoma"/>
      <family val="2"/>
    </font>
    <font>
      <sz val="9"/>
      <color rgb="FF000000"/>
      <name val="Helvetica"/>
    </font>
  </fonts>
  <fills count="11">
    <fill>
      <patternFill patternType="none"/>
    </fill>
    <fill>
      <patternFill patternType="gray125"/>
    </fill>
    <fill>
      <patternFill patternType="solid">
        <fgColor theme="3" tint="0.249977111117893"/>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4"/>
        <bgColor indexed="64"/>
      </patternFill>
    </fill>
    <fill>
      <patternFill patternType="solid">
        <fgColor theme="0"/>
        <bgColor indexed="64"/>
      </patternFill>
    </fill>
    <fill>
      <patternFill patternType="solid">
        <fgColor theme="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3969AD"/>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969AD"/>
      </left>
      <right style="thin">
        <color rgb="FF3969AD"/>
      </right>
      <top style="thin">
        <color rgb="FF3969AD"/>
      </top>
      <bottom style="thin">
        <color rgb="FF3969AD"/>
      </bottom>
      <diagonal/>
    </border>
    <border>
      <left style="thin">
        <color rgb="FF3969AD"/>
      </left>
      <right style="thin">
        <color rgb="FF3969AD"/>
      </right>
      <top/>
      <bottom style="thin">
        <color rgb="FF3969AD"/>
      </bottom>
      <diagonal/>
    </border>
    <border>
      <left style="thin">
        <color rgb="FF3969AD"/>
      </left>
      <right style="thin">
        <color rgb="FF3969AD"/>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rgb="FF3969AD"/>
      </left>
      <right style="thin">
        <color rgb="FF3969AD"/>
      </right>
      <top style="thin">
        <color rgb="FF3969AD"/>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s>
  <cellStyleXfs count="4">
    <xf numFmtId="0" fontId="0" fillId="0" borderId="0"/>
    <xf numFmtId="0" fontId="3" fillId="0" borderId="0" applyNumberFormat="0" applyFill="0" applyBorder="0" applyAlignment="0" applyProtection="0"/>
    <xf numFmtId="0" fontId="13" fillId="0" borderId="0"/>
    <xf numFmtId="0" fontId="20" fillId="7" borderId="0" applyNumberFormat="0" applyBorder="0" applyAlignment="0" applyProtection="0"/>
  </cellStyleXfs>
  <cellXfs count="74">
    <xf numFmtId="0" fontId="0" fillId="0" borderId="0" xfId="0"/>
    <xf numFmtId="0" fontId="0" fillId="0" borderId="0" xfId="0" applyAlignment="1">
      <alignment wrapText="1"/>
    </xf>
    <xf numFmtId="0" fontId="4" fillId="0" borderId="0" xfId="0" applyFont="1"/>
    <xf numFmtId="0" fontId="0" fillId="3" borderId="0" xfId="0" applyFill="1"/>
    <xf numFmtId="0" fontId="0" fillId="4" borderId="0" xfId="0" applyFill="1" applyAlignment="1">
      <alignment wrapText="1"/>
    </xf>
    <xf numFmtId="0" fontId="1" fillId="5" borderId="1" xfId="0" applyFont="1" applyFill="1" applyBorder="1" applyAlignment="1">
      <alignment horizontal="center" vertical="center" wrapText="1"/>
    </xf>
    <xf numFmtId="0" fontId="0" fillId="0" borderId="0" xfId="0" applyAlignment="1">
      <alignment horizontal="center"/>
    </xf>
    <xf numFmtId="0" fontId="1" fillId="5" borderId="1" xfId="0" applyFont="1" applyFill="1" applyBorder="1" applyAlignment="1">
      <alignment horizontal="center" vertical="top" wrapText="1"/>
    </xf>
    <xf numFmtId="0" fontId="0" fillId="0" borderId="1" xfId="0" applyBorder="1" applyAlignment="1">
      <alignment horizontal="center" vertical="center" wrapText="1"/>
    </xf>
    <xf numFmtId="0" fontId="0" fillId="6" borderId="1" xfId="0" applyFill="1" applyBorder="1" applyAlignment="1">
      <alignment vertical="center" wrapText="1"/>
    </xf>
    <xf numFmtId="0" fontId="0" fillId="6" borderId="0" xfId="0" applyFill="1"/>
    <xf numFmtId="0" fontId="0" fillId="6" borderId="0" xfId="0" applyFill="1" applyAlignment="1">
      <alignment wrapText="1"/>
    </xf>
    <xf numFmtId="0" fontId="6" fillId="0" borderId="0" xfId="0" applyFont="1" applyAlignment="1">
      <alignment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7" fillId="0" borderId="1" xfId="0" applyFont="1" applyBorder="1" applyAlignment="1">
      <alignment vertical="center"/>
    </xf>
    <xf numFmtId="0" fontId="0" fillId="0" borderId="1" xfId="0" applyBorder="1"/>
    <xf numFmtId="0" fontId="9" fillId="0" borderId="2" xfId="0" applyFont="1" applyBorder="1" applyAlignment="1">
      <alignment horizontal="center" vertical="center" wrapText="1"/>
    </xf>
    <xf numFmtId="0" fontId="9" fillId="0" borderId="3" xfId="0" applyFont="1" applyBorder="1" applyAlignment="1">
      <alignment vertical="center" wrapText="1"/>
    </xf>
    <xf numFmtId="0" fontId="9"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3" fillId="0" borderId="0" xfId="1"/>
    <xf numFmtId="0" fontId="11" fillId="0" borderId="0" xfId="2" applyFont="1" applyAlignment="1">
      <alignment vertical="center"/>
    </xf>
    <xf numFmtId="0" fontId="11" fillId="0" borderId="6" xfId="2" applyFont="1" applyBorder="1" applyAlignment="1">
      <alignment vertical="center"/>
    </xf>
    <xf numFmtId="0" fontId="11" fillId="0" borderId="6" xfId="2" applyFont="1" applyBorder="1" applyAlignment="1">
      <alignment vertical="center" wrapText="1"/>
    </xf>
    <xf numFmtId="0" fontId="11" fillId="8" borderId="6" xfId="2" applyFont="1" applyFill="1" applyBorder="1" applyAlignment="1">
      <alignment horizontal="left" vertical="center"/>
    </xf>
    <xf numFmtId="0" fontId="11" fillId="8" borderId="6" xfId="2" applyFont="1" applyFill="1" applyBorder="1" applyAlignment="1">
      <alignment vertical="center"/>
    </xf>
    <xf numFmtId="0" fontId="11" fillId="8" borderId="6" xfId="2" applyFont="1" applyFill="1" applyBorder="1" applyAlignment="1">
      <alignment vertical="center" wrapText="1"/>
    </xf>
    <xf numFmtId="0" fontId="11" fillId="0" borderId="6" xfId="2" applyFont="1" applyBorder="1" applyAlignment="1">
      <alignment horizontal="left" vertical="center"/>
    </xf>
    <xf numFmtId="0" fontId="11" fillId="9" borderId="6" xfId="2" applyFont="1" applyFill="1" applyBorder="1" applyAlignment="1">
      <alignment horizontal="left" vertical="center"/>
    </xf>
    <xf numFmtId="0" fontId="11" fillId="9" borderId="6" xfId="2" applyFont="1" applyFill="1" applyBorder="1" applyAlignment="1">
      <alignment vertical="center"/>
    </xf>
    <xf numFmtId="0" fontId="11" fillId="9" borderId="6" xfId="2" applyFont="1" applyFill="1" applyBorder="1" applyAlignment="1">
      <alignment vertical="center" wrapText="1"/>
    </xf>
    <xf numFmtId="0" fontId="15" fillId="9" borderId="9" xfId="2" applyFont="1" applyFill="1" applyBorder="1" applyAlignment="1">
      <alignment horizontal="left" vertical="center"/>
    </xf>
    <xf numFmtId="0" fontId="16" fillId="0" borderId="6" xfId="2" applyFont="1" applyBorder="1" applyAlignment="1">
      <alignment horizontal="left" vertical="center"/>
    </xf>
    <xf numFmtId="0" fontId="16" fillId="0" borderId="6" xfId="2" applyFont="1" applyBorder="1" applyAlignment="1">
      <alignment vertical="center"/>
    </xf>
    <xf numFmtId="0" fontId="16" fillId="0" borderId="6" xfId="2" applyFont="1" applyBorder="1" applyAlignment="1">
      <alignment vertical="center" wrapText="1"/>
    </xf>
    <xf numFmtId="0" fontId="17" fillId="0" borderId="6" xfId="2" applyFont="1" applyBorder="1" applyAlignment="1">
      <alignment vertical="center"/>
    </xf>
    <xf numFmtId="0" fontId="3" fillId="0" borderId="6" xfId="1" applyBorder="1" applyAlignment="1">
      <alignment vertical="center" wrapText="1"/>
    </xf>
    <xf numFmtId="0" fontId="0" fillId="0" borderId="6" xfId="2" applyFont="1" applyBorder="1" applyAlignment="1">
      <alignment horizontal="left" vertical="center" wrapText="1"/>
    </xf>
    <xf numFmtId="0" fontId="1" fillId="10" borderId="6" xfId="3" applyFont="1" applyFill="1" applyBorder="1" applyAlignment="1">
      <alignment horizontal="center" vertical="center"/>
    </xf>
    <xf numFmtId="0" fontId="0" fillId="0" borderId="0" xfId="0" applyAlignment="1">
      <alignment vertical="center"/>
    </xf>
    <xf numFmtId="0" fontId="11" fillId="0" borderId="10" xfId="2" applyFont="1" applyBorder="1" applyAlignment="1">
      <alignment horizontal="left" vertical="center"/>
    </xf>
    <xf numFmtId="0" fontId="11" fillId="0" borderId="8" xfId="2" applyFont="1" applyBorder="1" applyAlignment="1">
      <alignment horizontal="left" vertical="center"/>
    </xf>
    <xf numFmtId="0" fontId="11" fillId="0" borderId="7" xfId="2" applyFont="1" applyBorder="1" applyAlignment="1">
      <alignment horizontal="left" vertical="center"/>
    </xf>
    <xf numFmtId="0" fontId="11" fillId="9" borderId="10" xfId="2" applyFont="1" applyFill="1" applyBorder="1" applyAlignment="1">
      <alignment horizontal="left" vertical="center"/>
    </xf>
    <xf numFmtId="0" fontId="11" fillId="9" borderId="8" xfId="2" applyFont="1" applyFill="1" applyBorder="1" applyAlignment="1">
      <alignment horizontal="left" vertical="center"/>
    </xf>
    <xf numFmtId="0" fontId="11" fillId="9" borderId="7" xfId="2" applyFont="1" applyFill="1" applyBorder="1" applyAlignment="1">
      <alignment horizontal="left" vertical="center"/>
    </xf>
    <xf numFmtId="0" fontId="0" fillId="6" borderId="0" xfId="0" applyFill="1" applyBorder="1" applyAlignment="1">
      <alignment vertical="center" wrapText="1"/>
    </xf>
    <xf numFmtId="0" fontId="0" fillId="6" borderId="11" xfId="0" applyFill="1" applyBorder="1" applyAlignment="1">
      <alignment vertical="center" wrapText="1"/>
    </xf>
    <xf numFmtId="0" fontId="0" fillId="6" borderId="12" xfId="0" applyFill="1" applyBorder="1" applyAlignment="1">
      <alignment vertical="center" wrapText="1"/>
    </xf>
    <xf numFmtId="0" fontId="0" fillId="6" borderId="13" xfId="0" applyFill="1" applyBorder="1" applyAlignment="1">
      <alignment vertical="center" wrapText="1"/>
    </xf>
    <xf numFmtId="0" fontId="0" fillId="0" borderId="1" xfId="0" applyBorder="1" applyAlignment="1">
      <alignment wrapText="1"/>
    </xf>
    <xf numFmtId="0" fontId="1" fillId="2" borderId="0" xfId="0" applyFont="1" applyFill="1" applyAlignment="1">
      <alignmen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 xfId="0"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wrapText="1"/>
    </xf>
    <xf numFmtId="0" fontId="0" fillId="0" borderId="0" xfId="0" applyAlignment="1"/>
    <xf numFmtId="0" fontId="0" fillId="0" borderId="0" xfId="0" applyAlignment="1">
      <alignment vertical="center" wrapText="1"/>
    </xf>
    <xf numFmtId="0" fontId="3" fillId="6" borderId="1" xfId="1" applyFill="1" applyBorder="1" applyAlignment="1">
      <alignment vertical="top"/>
    </xf>
    <xf numFmtId="0" fontId="0" fillId="6" borderId="1" xfId="0" quotePrefix="1" applyFill="1" applyBorder="1" applyAlignment="1">
      <alignment vertical="top" wrapText="1"/>
    </xf>
    <xf numFmtId="0" fontId="1" fillId="2" borderId="14" xfId="0" applyFont="1" applyFill="1" applyBorder="1" applyAlignment="1">
      <alignment vertical="center" wrapText="1"/>
    </xf>
    <xf numFmtId="0" fontId="1" fillId="2" borderId="14" xfId="0" applyFont="1" applyFill="1" applyBorder="1" applyAlignment="1">
      <alignment vertical="center"/>
    </xf>
    <xf numFmtId="0" fontId="0" fillId="0" borderId="0" xfId="0" applyFill="1" applyAlignment="1">
      <alignment wrapText="1"/>
    </xf>
    <xf numFmtId="0" fontId="22" fillId="0" borderId="1" xfId="0" applyFont="1" applyFill="1" applyBorder="1" applyAlignment="1">
      <alignment horizontal="center" vertical="center" wrapText="1"/>
    </xf>
    <xf numFmtId="0" fontId="0" fillId="6" borderId="1" xfId="0" quotePrefix="1" applyFill="1" applyBorder="1" applyAlignment="1">
      <alignment vertical="center" wrapText="1"/>
    </xf>
    <xf numFmtId="0" fontId="0" fillId="0" borderId="0" xfId="0" applyAlignment="1">
      <alignment horizontal="center" wrapText="1"/>
    </xf>
    <xf numFmtId="0" fontId="24" fillId="0" borderId="0" xfId="0" applyFont="1"/>
    <xf numFmtId="0" fontId="0" fillId="6" borderId="1" xfId="0" applyFont="1" applyFill="1" applyBorder="1" applyAlignment="1">
      <alignment vertical="center" wrapText="1"/>
    </xf>
  </cellXfs>
  <cellStyles count="4">
    <cellStyle name="Accent1 2" xfId="3" xr:uid="{E0D37EBD-53E0-4C56-9336-50950449EFE9}"/>
    <cellStyle name="Hyperlink" xfId="1" builtinId="8"/>
    <cellStyle name="Normal" xfId="0" builtinId="0"/>
    <cellStyle name="Normal 2" xfId="2" xr:uid="{4FE51EA1-2B2E-462A-9CAD-FA0A3A7A765E}"/>
  </cellStyles>
  <dxfs count="11">
    <dxf>
      <font>
        <color rgb="FF006100"/>
      </font>
      <fill>
        <patternFill>
          <bgColor rgb="FFC6EFCE"/>
        </patternFill>
      </fill>
    </dxf>
    <dxf>
      <fill>
        <patternFill>
          <bgColor theme="0" tint="-4.9989318521683403E-2"/>
        </patternFill>
      </fill>
    </dxf>
    <dxf>
      <font>
        <color rgb="FF9C5700"/>
      </font>
      <fill>
        <patternFill>
          <bgColor rgb="FFFFEB9C"/>
        </patternFill>
      </fill>
    </dxf>
    <dxf>
      <font>
        <color rgb="FF9C0006"/>
      </font>
      <fill>
        <patternFill>
          <bgColor rgb="FFFFC7CE"/>
        </patternFill>
      </fill>
    </dxf>
    <dxf>
      <fill>
        <patternFill>
          <bgColor theme="3" tint="0.89996032593768116"/>
        </patternFill>
      </fill>
    </dxf>
    <dxf>
      <fill>
        <patternFill>
          <bgColor theme="3" tint="0.89996032593768116"/>
        </patternFill>
      </fill>
    </dxf>
    <dxf>
      <font>
        <color rgb="FF006100"/>
      </font>
      <fill>
        <patternFill>
          <bgColor rgb="FFC6EFCE"/>
        </patternFill>
      </fill>
    </dxf>
    <dxf>
      <fill>
        <patternFill>
          <bgColor theme="9" tint="0.79998168889431442"/>
        </patternFill>
      </fill>
    </dxf>
    <dxf>
      <fill>
        <patternFill>
          <bgColor theme="5" tint="0.79998168889431442"/>
        </patternFill>
      </fill>
    </dxf>
    <dxf>
      <fill>
        <patternFill>
          <bgColor theme="3" tint="0.89996032593768116"/>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3.xml"/><Relationship Id="rId10" Type="http://schemas.openxmlformats.org/officeDocument/2006/relationships/externalLink" Target="externalLinks/externalLink2.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System_Architecture\Documents\1_CI_CD\Guideline\List_Implement_CI.CD_Replatform.xlsx" TargetMode="External"/><Relationship Id="rId1" Type="http://schemas.openxmlformats.org/officeDocument/2006/relationships/externalLinkPath" Target="file:///D:\System_Architecture\Documents\1_CI_CD\Guideline\List_Implement_CI.CD_Replatform.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System_Architecture\Documents\List_Implement_CI.CD_Replatform.xlsx" TargetMode="External"/><Relationship Id="rId1" Type="http://schemas.openxmlformats.org/officeDocument/2006/relationships/externalLinkPath" Target="file:///D:\System_Architecture\Documents\List_Implement_CI.CD_Replatfo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ystem"/>
      <sheetName val="PIC"/>
      <sheetName val="Tech Stack"/>
      <sheetName val="Operation"/>
      <sheetName val="RACI"/>
      <sheetName val="Master Data"/>
    </sheetNames>
    <sheetDataSet>
      <sheetData sheetId="0" refreshError="1"/>
      <sheetData sheetId="1">
        <row r="5">
          <cell r="B5" t="str">
            <v>AD Portal system - Frontend - Web</v>
          </cell>
        </row>
      </sheetData>
      <sheetData sheetId="2" refreshError="1"/>
      <sheetData sheetId="3" refreshError="1"/>
      <sheetData sheetId="4" refreshError="1"/>
      <sheetData sheetId="5">
        <row r="6">
          <cell r="F6" t="str">
            <v>Insight - Monolith – Web (FE + BE)</v>
          </cell>
          <cell r="H6" t="str">
            <v>Insight</v>
          </cell>
          <cell r="K6" t="str">
            <v>Ninh, Dang Khang [Tech/Distribution Digital Systems Intern]</v>
          </cell>
        </row>
        <row r="7">
          <cell r="F7" t="str">
            <v>eLearning + TMS - Monolith – Web (FE + BE)</v>
          </cell>
          <cell r="H7" t="str">
            <v>eLearning + TMS</v>
          </cell>
          <cell r="K7" t="str">
            <v>Quan, Nguyen Minh [Tech/Distribution Digital Systems Intern]</v>
          </cell>
        </row>
        <row r="8">
          <cell r="F8" t="str">
            <v>DLVN Website - Monolith – Web (FE + BE)</v>
          </cell>
          <cell r="H8" t="str">
            <v>DLVN Website</v>
          </cell>
          <cell r="K8" t="str">
            <v>Khoa, Pham Tran Dang [Tech/Distribution Digital Systems Intern]</v>
          </cell>
        </row>
        <row r="9">
          <cell r="F9" t="str">
            <v>PIP - Monolith – Web (FE + BE)</v>
          </cell>
          <cell r="H9" t="str">
            <v>PIP</v>
          </cell>
          <cell r="K9" t="str">
            <v>Hung, Thach Phan Phu [Tech/Distribution Digital Systems]</v>
          </cell>
        </row>
        <row r="10">
          <cell r="F10" t="str">
            <v>Referral - Monolith – Web (FE + BE)</v>
          </cell>
          <cell r="H10" t="str">
            <v>Referral</v>
          </cell>
          <cell r="K10" t="str">
            <v>Thinh, Huynh Vu [Tech/Distribution Digital Systems]</v>
          </cell>
        </row>
        <row r="11">
          <cell r="F11" t="str">
            <v>Lucky Draw - Monolith – Web (FE + BE)</v>
          </cell>
          <cell r="H11" t="str">
            <v>Lucky Draw</v>
          </cell>
          <cell r="K11" t="str">
            <v>Tat, Tran Thanh [Tech/Distribution Digital Systems]</v>
          </cell>
        </row>
        <row r="12">
          <cell r="F12" t="str">
            <v>Dai-ichi ON Covergo Platform (SOP) - Frontend - Web</v>
          </cell>
          <cell r="H12" t="str">
            <v>Dai-ichi ON Covergo Platform (SOP)</v>
          </cell>
          <cell r="K12" t="str">
            <v>Quan, Lam Minh [Tech/Distribution Digital Systems]</v>
          </cell>
        </row>
        <row r="13">
          <cell r="F13" t="str">
            <v>DFVN Website - Monolith – Web (FE + BE)</v>
          </cell>
          <cell r="H13" t="str">
            <v>DFVN Website</v>
          </cell>
          <cell r="K13" t="str">
            <v>Tinh, Nguyen Trung [Tech/Distribution Digital Systems]</v>
          </cell>
        </row>
        <row r="14">
          <cell r="F14" t="str">
            <v>AI System - Backend – Microservice</v>
          </cell>
          <cell r="H14" t="str">
            <v>AI System</v>
          </cell>
          <cell r="K14" t="str">
            <v>Hieu, Nguyen Le Trung [Tech/Distribution Digital Systems]</v>
          </cell>
        </row>
        <row r="15">
          <cell r="F15" t="str">
            <v>Ingenium - Monolith – Backend - Ingenium App</v>
          </cell>
          <cell r="H15" t="str">
            <v>Ingenium</v>
          </cell>
          <cell r="K15" t="str">
            <v>Quy, Luong Trong [Tech/Distribution Digital Systems]</v>
          </cell>
        </row>
        <row r="16">
          <cell r="F16" t="str">
            <v>D-Success - Frontend - Web</v>
          </cell>
          <cell r="H16" t="str">
            <v>D-Connect</v>
          </cell>
          <cell r="K16" t="str">
            <v>Phuoc, Vo Nguyen Hong [Tech/Distribution Digital Systems]</v>
          </cell>
        </row>
        <row r="17">
          <cell r="F17" t="str">
            <v>D-Success - Monolith – Backend - Springboot</v>
          </cell>
          <cell r="H17" t="str">
            <v>D-Success</v>
          </cell>
          <cell r="K17" t="str">
            <v>Tinh, Nguyen Huu [Tech/Distribution Digital Systems]</v>
          </cell>
        </row>
        <row r="18">
          <cell r="F18" t="str">
            <v>D-Success - Monolith – Backend - ACE</v>
          </cell>
          <cell r="H18" t="str">
            <v>eApplication (D-Success, ADP)</v>
          </cell>
          <cell r="K18" t="str">
            <v>Nghia, Nguyen Van [Tech/Business Process Automation/Outsource]</v>
          </cell>
        </row>
        <row r="19">
          <cell r="F19" t="str">
            <v>D-Success - Frontend – Mobile iOS</v>
          </cell>
          <cell r="H19" t="str">
            <v>e-CV (D-Success)</v>
          </cell>
          <cell r="K19" t="str">
            <v>Quan, Tu Van Nguyen Anh [Tech/Business Process Auto Intern]</v>
          </cell>
        </row>
        <row r="20">
          <cell r="F20" t="str">
            <v>D-Success - Frontend – Mobile Android</v>
          </cell>
          <cell r="H20" t="str">
            <v>Recording(D-Success, ADP)</v>
          </cell>
          <cell r="K20" t="str">
            <v>Khoa, Bui Vu Anh [Tech/Business Process Automation Intern]</v>
          </cell>
        </row>
        <row r="21">
          <cell r="F21" t="str">
            <v>eApplication (D-Success, ADP) - Shared – SDK - IOS</v>
          </cell>
          <cell r="H21" t="str">
            <v>Customer Service Portal (CSP)</v>
          </cell>
          <cell r="K21" t="str">
            <v>Duc, Pham Huu [Tech/Business Process Automation]</v>
          </cell>
        </row>
        <row r="22">
          <cell r="F22" t="str">
            <v>eApplication (D-Success, ADP) - Shared – SDK - Android</v>
          </cell>
          <cell r="H22" t="str">
            <v>Loyalty Point</v>
          </cell>
          <cell r="K22" t="str">
            <v>Nhat, Le Khanh [Tech/Business Process Automation]</v>
          </cell>
        </row>
        <row r="23">
          <cell r="F23" t="str">
            <v>eApplication (D-Success, ADP) - Frontend - Web</v>
          </cell>
          <cell r="H23" t="str">
            <v>External Printing system</v>
          </cell>
          <cell r="K23" t="str">
            <v>Hung, Tran Van [Tech/Business Process Automation]</v>
          </cell>
        </row>
        <row r="24">
          <cell r="F24" t="str">
            <v>e-CV (D-Success) - Frontend - Web</v>
          </cell>
          <cell r="H24" t="str">
            <v>Premium Collection Services</v>
          </cell>
          <cell r="K24" t="str">
            <v>Thao, Phan Minh [Tech/Business Process Automation]</v>
          </cell>
        </row>
        <row r="25">
          <cell r="F25" t="str">
            <v>eApplication (D-Success, ADP) - Monolith – Backend</v>
          </cell>
          <cell r="H25" t="str">
            <v>SMS/ZNS</v>
          </cell>
          <cell r="K25" t="str">
            <v>Hien, Le Thi Thu [Tech/Business Process Automation]</v>
          </cell>
        </row>
        <row r="26">
          <cell r="F26" t="str">
            <v>e-CV (D-Success) - Monolith – Backend</v>
          </cell>
          <cell r="H26" t="str">
            <v>Workflow (iBPS-AA) System</v>
          </cell>
          <cell r="K26" t="str">
            <v>Ra, Tang The [Tech/Business Process Automation]</v>
          </cell>
        </row>
        <row r="27">
          <cell r="F27" t="str">
            <v>Recording(D-Success, ADP) - Monolith – Backend</v>
          </cell>
          <cell r="H27" t="str">
            <v>Workflow (iBPS-NB,PS)</v>
          </cell>
          <cell r="K27" t="str">
            <v>Binh, Nguyen Thai [Tech/Business Process Automation]</v>
          </cell>
        </row>
        <row r="28">
          <cell r="F28" t="str">
            <v>Loyalty Point - Monolith – Web (FE + BE)</v>
          </cell>
          <cell r="H28" t="str">
            <v>Workflow Utility</v>
          </cell>
          <cell r="K28" t="str">
            <v>Khue, Nong Thuc [Tech/Sales Enablement Intern]</v>
          </cell>
        </row>
        <row r="29">
          <cell r="F29" t="str">
            <v>External Printing system - Monolith – Web (FE + BE)</v>
          </cell>
          <cell r="H29" t="str">
            <v>PAM</v>
          </cell>
          <cell r="K29" t="str">
            <v>Tam, Nguyen Duong Khanh [Tech/InsTech &amp; Innovation Intern]</v>
          </cell>
        </row>
        <row r="30">
          <cell r="F30" t="str">
            <v>PAM - Technology Product</v>
          </cell>
          <cell r="H30" t="str">
            <v>SIEM</v>
          </cell>
          <cell r="K30" t="str">
            <v>Luat, Vu Trong [Tech/Sales Enablement]</v>
          </cell>
        </row>
        <row r="31">
          <cell r="F31" t="str">
            <v>SMS/ZNS - Monolith – Backend - ZNS</v>
          </cell>
          <cell r="H31" t="str">
            <v>PBX</v>
          </cell>
          <cell r="K31" t="str">
            <v>An, Dang Hieu [Tech/InsTech &amp; Innovation]</v>
          </cell>
        </row>
        <row r="32">
          <cell r="F32" t="str">
            <v>Lead Management - Monolith – Web (FE + BE)</v>
          </cell>
          <cell r="H32" t="str">
            <v>Camera</v>
          </cell>
          <cell r="K32" t="str">
            <v>Dung, Lam Anh [Tech/Sales Enablement]</v>
          </cell>
        </row>
        <row r="33">
          <cell r="F33" t="str">
            <v>D-Connect - Monolith – Backend</v>
          </cell>
          <cell r="H33" t="str">
            <v>Access Door</v>
          </cell>
          <cell r="K33" t="str">
            <v>Phu, Nguyen Cong [Tech/InsTech &amp; Innovation]</v>
          </cell>
        </row>
        <row r="34">
          <cell r="F34" t="str">
            <v>D-Connect - Monolith – Backend - Partner</v>
          </cell>
          <cell r="H34" t="str">
            <v>Apex One</v>
          </cell>
          <cell r="K34" t="str">
            <v>Kinh, Bui Tan [Tech/InsTech &amp; Innovation]</v>
          </cell>
        </row>
        <row r="35">
          <cell r="F35" t="str">
            <v>D-Connect - Monolith – Web (FE + BE) - CMS</v>
          </cell>
          <cell r="H35" t="str">
            <v>WSUS</v>
          </cell>
          <cell r="K35" t="str">
            <v>Hang, Tran Thu [Tech/Sales Enablement]</v>
          </cell>
        </row>
        <row r="36">
          <cell r="F36" t="str">
            <v>D-Connect - Frontend - Web</v>
          </cell>
          <cell r="H36" t="str">
            <v>Commvault System</v>
          </cell>
          <cell r="K36" t="str">
            <v>Phuc, Tran Hoang [Tech/InsTech &amp; Innovation/Temp]</v>
          </cell>
        </row>
        <row r="37">
          <cell r="F37" t="str">
            <v>D-Connect - Frontend - Web - E-Docter</v>
          </cell>
          <cell r="H37" t="str">
            <v>File server</v>
          </cell>
          <cell r="K37" t="str">
            <v>Khanh, Tran Nguyen [Tech/InsTech &amp; Innovation/Temp]</v>
          </cell>
        </row>
        <row r="38">
          <cell r="F38" t="str">
            <v>D-Connect - Frontend – Mobile iOS</v>
          </cell>
          <cell r="H38" t="str">
            <v>Visual Source Safe</v>
          </cell>
          <cell r="K38" t="str">
            <v>Tai, Mai Duc [Tech/Sales Enablement]</v>
          </cell>
        </row>
        <row r="39">
          <cell r="F39" t="str">
            <v>D-Connect - Frontend – Mobile Android</v>
          </cell>
          <cell r="H39" t="str">
            <v>PVCS</v>
          </cell>
          <cell r="K39" t="str">
            <v>Sang, Nguyen Hong Hoan [Tech/InsTech &amp; Innovation]</v>
          </cell>
        </row>
        <row r="40">
          <cell r="F40" t="str">
            <v>Workflow (iBPS-AA) System - Monolith – Web (FE + BE)</v>
          </cell>
          <cell r="H40" t="str">
            <v>Microsoft Office 365</v>
          </cell>
          <cell r="K40" t="str">
            <v>Vuong, Pham Thien [Tech/InsTech &amp; Innovation]</v>
          </cell>
        </row>
        <row r="41">
          <cell r="F41" t="str">
            <v>Workflow (iBPS-NB,PS) - Monolith – Web (FE + BE)</v>
          </cell>
          <cell r="H41" t="str">
            <v>Azure DevOps</v>
          </cell>
          <cell r="K41" t="str">
            <v>My, Hoang Quoc [Tech/Sales Enablement]</v>
          </cell>
        </row>
        <row r="42">
          <cell r="F42" t="str">
            <v>Workflow Utility - Monolith – Backend</v>
          </cell>
          <cell r="H42" t="str">
            <v>Enterprise Data WareHouse</v>
          </cell>
          <cell r="K42" t="str">
            <v>Toan, Huynh Thanh [Tech/Sales Enablement]</v>
          </cell>
        </row>
        <row r="43">
          <cell r="F43" t="str">
            <v>OpenShift - Technology Product</v>
          </cell>
          <cell r="H43" t="str">
            <v>Zimbra mail System</v>
          </cell>
          <cell r="K43" t="str">
            <v>Ha, Nguyen Thi Thu [Tech/Governance &amp; Security]</v>
          </cell>
        </row>
        <row r="44">
          <cell r="F44" t="str">
            <v>AI System - Frontend - Web</v>
          </cell>
          <cell r="H44" t="str">
            <v>IIB Service Bus</v>
          </cell>
          <cell r="K44" t="str">
            <v>Chuong, Tran Minh [Tech/Governance &amp; Security]</v>
          </cell>
        </row>
        <row r="45">
          <cell r="F45" t="str">
            <v>PBX - Technology Product</v>
          </cell>
          <cell r="H45" t="str">
            <v>ETL</v>
          </cell>
          <cell r="K45" t="str">
            <v>Tuan, Ho Vu Anh [Tech/Governance &amp; Security]</v>
          </cell>
        </row>
        <row r="46">
          <cell r="F46" t="str">
            <v>Camera - Technology Product</v>
          </cell>
          <cell r="H46" t="str">
            <v>ODS Database</v>
          </cell>
          <cell r="K46" t="str">
            <v>Cuong, Do Quoc [Tech/Governance &amp; Security]</v>
          </cell>
        </row>
        <row r="47">
          <cell r="F47" t="str">
            <v>Access Door - Technology Product</v>
          </cell>
          <cell r="H47" t="str">
            <v>WAF F5</v>
          </cell>
          <cell r="K47" t="str">
            <v>Tung, Truong Tran Co [Tech/Network-Telecom &amp; Helpdesk]</v>
          </cell>
        </row>
        <row r="48">
          <cell r="F48" t="str">
            <v>Apex One - Technology Product</v>
          </cell>
          <cell r="H48" t="str">
            <v>EXTERNAL DNS</v>
          </cell>
          <cell r="K48" t="str">
            <v>Duy, Nguyen [Tech/Network-Telecom &amp; Helpdesk]</v>
          </cell>
        </row>
        <row r="49">
          <cell r="F49" t="str">
            <v>WSUS - Technology Product</v>
          </cell>
          <cell r="H49" t="str">
            <v>Active Directory</v>
          </cell>
          <cell r="K49" t="str">
            <v>Hien, Tran Van Dinh [Tech/Network-Telecom &amp; Helpdesk]</v>
          </cell>
        </row>
        <row r="50">
          <cell r="F50" t="str">
            <v>Commvault System - Technology Product</v>
          </cell>
          <cell r="H50" t="str">
            <v>D-Procurement</v>
          </cell>
          <cell r="K50" t="str">
            <v>Ngoc, Phan Nguyen Thai [Tech/Network-Telecom &amp; Helpdesk]</v>
          </cell>
        </row>
        <row r="51">
          <cell r="F51" t="str">
            <v>File server - Technology Product</v>
          </cell>
          <cell r="H51" t="str">
            <v>Epayment</v>
          </cell>
          <cell r="K51" t="str">
            <v>Thang, Huynh Cong [Tech/Network-Telecom &amp; Helpdesk]</v>
          </cell>
        </row>
        <row r="52">
          <cell r="F52" t="str">
            <v>Visual Source Safe - Technology Product</v>
          </cell>
          <cell r="H52" t="str">
            <v>ETax Invoice</v>
          </cell>
          <cell r="K52" t="str">
            <v>Tien, Nguyen Van [Tech/Network-Telecom &amp; Helpdesk]</v>
          </cell>
        </row>
        <row r="53">
          <cell r="F53" t="str">
            <v>PVCS - Technology Product</v>
          </cell>
          <cell r="H53" t="str">
            <v>System UIR</v>
          </cell>
          <cell r="K53" t="str">
            <v>Phuong, Tran Minh [Tech/Network-Telecom &amp; Helpdesk]</v>
          </cell>
        </row>
        <row r="54">
          <cell r="F54" t="str">
            <v>Microsoft Office 365 - Technology Product</v>
          </cell>
          <cell r="H54" t="str">
            <v>System SRM</v>
          </cell>
          <cell r="K54" t="str">
            <v>Chan, Hoang Hai [Tech/Network-Telecom &amp; Helpdesk]</v>
          </cell>
        </row>
        <row r="55">
          <cell r="F55" t="str">
            <v>Azure DevOps - Technology Product</v>
          </cell>
          <cell r="H55" t="str">
            <v>D-Home System Corporate Portal</v>
          </cell>
          <cell r="K55" t="str">
            <v>Hai, Tran Hoang [Tech/Network-Telecom &amp; Helpdesk]</v>
          </cell>
        </row>
        <row r="56">
          <cell r="F56" t="str">
            <v>Enterprise Data WareHouse - Technology Product</v>
          </cell>
          <cell r="H56" t="str">
            <v>ITInventory</v>
          </cell>
          <cell r="K56" t="str">
            <v>Khai, Dao Trong [Tech/Network-Telecom &amp; Helpdesk]</v>
          </cell>
        </row>
        <row r="57">
          <cell r="F57" t="str">
            <v>Zimbra mail System - Technology Product</v>
          </cell>
          <cell r="H57" t="str">
            <v>Leavetrack</v>
          </cell>
          <cell r="K57" t="str">
            <v>The, Dang Cong [Tech/Network-Telecom &amp; Helpdesk]</v>
          </cell>
        </row>
        <row r="58">
          <cell r="F58" t="str">
            <v>IIB Service Bus - Technology Product</v>
          </cell>
          <cell r="H58" t="str">
            <v>DMS</v>
          </cell>
          <cell r="K58" t="str">
            <v>Binh, Le Tuan [Tech/Network-Telecom &amp; Helpdesk]</v>
          </cell>
        </row>
        <row r="59">
          <cell r="F59" t="str">
            <v>ETL - Technology Product</v>
          </cell>
          <cell r="H59" t="str">
            <v>HCMS</v>
          </cell>
          <cell r="K59" t="str">
            <v>Minh, Le Cong [Tech/Network-Telecom &amp; Helpdesk]</v>
          </cell>
        </row>
        <row r="60">
          <cell r="F60" t="str">
            <v>ODS Database - Technology Product</v>
          </cell>
          <cell r="H60" t="str">
            <v>D-Medic</v>
          </cell>
          <cell r="K60" t="str">
            <v>Loc, Ta Hoang [Tech/Network-Telecom &amp; Helpdesk]</v>
          </cell>
        </row>
        <row r="61">
          <cell r="F61" t="str">
            <v>WAF F5 - Technology Product</v>
          </cell>
          <cell r="H61" t="str">
            <v>Customer Contact Management System (CCMS/ACMS)</v>
          </cell>
          <cell r="K61" t="str">
            <v>Phu, Nguyen Tam [Tech/Network-Telecom &amp; Helpdesk]</v>
          </cell>
        </row>
        <row r="62">
          <cell r="F62" t="str">
            <v>EXTERNAL DNS - Technology Product</v>
          </cell>
          <cell r="H62" t="str">
            <v>Call Center Management (CCM)</v>
          </cell>
          <cell r="K62" t="str">
            <v>Hoan, Duong Minh [Tech/Corporate Support Systems]</v>
          </cell>
        </row>
        <row r="63">
          <cell r="F63" t="str">
            <v>Active Directory - Technology Product</v>
          </cell>
          <cell r="H63" t="str">
            <v>Progiss</v>
          </cell>
          <cell r="K63" t="str">
            <v>Dang, Nguyen Hai [Tech/Corporate Support Systems]</v>
          </cell>
        </row>
        <row r="64">
          <cell r="F64" t="str">
            <v>D-Procurement - Monolith – Web (FE + BE)</v>
          </cell>
          <cell r="H64" t="str">
            <v>AD Portal system</v>
          </cell>
          <cell r="K64" t="str">
            <v>Huy, Ngo Anh [Tech/System Administration 2]</v>
          </cell>
        </row>
        <row r="65">
          <cell r="F65" t="str">
            <v>Epayment - Monolith – Web (FE + BE)</v>
          </cell>
          <cell r="H65" t="str">
            <v>CX Platform (Qualtrics)</v>
          </cell>
          <cell r="K65" t="str">
            <v>Trung, Tong My [Tech/System Administration 2]</v>
          </cell>
        </row>
        <row r="66">
          <cell r="F66" t="str">
            <v>ETax Invoice - Monolith – Web (FE + BE)</v>
          </cell>
          <cell r="H66" t="str">
            <v>DFVN Portal</v>
          </cell>
          <cell r="K66" t="str">
            <v>Tuong, Nguyen Phuc Kien [Tech/System Administration 2]</v>
          </cell>
        </row>
        <row r="67">
          <cell r="F67" t="str">
            <v>System UIR - Monolith – Web (FE + BE) - Data API Builder</v>
          </cell>
          <cell r="H67" t="str">
            <v>DLDreampad</v>
          </cell>
          <cell r="K67" t="str">
            <v>Phong, Nguyen Hoai [Tech/System Administration 2]</v>
          </cell>
        </row>
        <row r="68">
          <cell r="F68" t="str">
            <v>System SRM - Monolith – Web (FE + BE)</v>
          </cell>
          <cell r="H68" t="str">
            <v>DLVNSCAN</v>
          </cell>
          <cell r="K68" t="str">
            <v>Hien, Tran Vinh [Tech/System Administration 2]</v>
          </cell>
        </row>
        <row r="69">
          <cell r="F69" t="str">
            <v>D-Home System Corporate Portal - Monolith – Web (FE + BE)</v>
          </cell>
          <cell r="H69" t="str">
            <v>ePolicy System</v>
          </cell>
          <cell r="K69" t="str">
            <v>Thinh, Bui Ngoc [Tech/System Administration 2]</v>
          </cell>
        </row>
        <row r="70">
          <cell r="F70" t="str">
            <v>ITInventory - Monolith – Web (FE + BE)</v>
          </cell>
          <cell r="H70" t="str">
            <v>iHRP System</v>
          </cell>
          <cell r="K70" t="str">
            <v>Trung, Nguyen Thanh [Tech/System Administration 1]</v>
          </cell>
        </row>
        <row r="71">
          <cell r="F71" t="str">
            <v>Leavetrack - Monolith – Web (FE + BE)</v>
          </cell>
          <cell r="H71" t="str">
            <v>Portia System</v>
          </cell>
          <cell r="K71" t="str">
            <v>Cuong, Bao Thien [Tech/System Administration 1]</v>
          </cell>
        </row>
        <row r="72">
          <cell r="F72" t="str">
            <v>Prophet - Technology Product - Prophet</v>
          </cell>
          <cell r="H72" t="str">
            <v>Sendy System</v>
          </cell>
          <cell r="K72" t="str">
            <v>Khanh, Nguyen Phuong [Tech/System Administration 1]</v>
          </cell>
        </row>
        <row r="73">
          <cell r="F73" t="str">
            <v>HCMS - Monolith – Web (FE + BE)</v>
          </cell>
          <cell r="H73" t="str">
            <v>SUN system</v>
          </cell>
          <cell r="K73" t="str">
            <v>Chung, Nguyen Tu [Tech/System Administration 1]</v>
          </cell>
        </row>
        <row r="74">
          <cell r="F74" t="str">
            <v>D-Medic - Frontend – Mobile iOS</v>
          </cell>
          <cell r="H74" t="str">
            <v>VPN</v>
          </cell>
          <cell r="K74" t="str">
            <v>Lanh, Luu Van [Tech/Policy Admin System]</v>
          </cell>
        </row>
        <row r="75">
          <cell r="F75" t="str">
            <v>Hospital Portal system - Backend – Microservice</v>
          </cell>
          <cell r="H75" t="str">
            <v>ZScaler</v>
          </cell>
          <cell r="K75" t="str">
            <v>Phuong, Le Giang Nhat [Tech/Policy Admin System]</v>
          </cell>
        </row>
        <row r="76">
          <cell r="F76" t="str">
            <v>SIEM - Technology Product</v>
          </cell>
          <cell r="H76" t="str">
            <v>Customer Data Platform</v>
          </cell>
          <cell r="K76" t="str">
            <v>Giang, Nguyen Thanh Truong [Tech/Policy Admin System]</v>
          </cell>
        </row>
        <row r="77">
          <cell r="F77" t="str">
            <v>File Server - Technology Product</v>
          </cell>
          <cell r="H77" t="str">
            <v>New eLearning + TMS</v>
          </cell>
          <cell r="K77" t="str">
            <v>Tho, Hoang Xuan [Tech/Policy Admin System]</v>
          </cell>
        </row>
        <row r="78">
          <cell r="F78" t="str">
            <v>AD Portal system - Monolith – Backend - Springboot</v>
          </cell>
          <cell r="H78" t="str">
            <v>Lead Management</v>
          </cell>
          <cell r="K78" t="str">
            <v>Tuyet, Huynh Thi [Tech/Policy Admin System]</v>
          </cell>
        </row>
        <row r="79">
          <cell r="F79" t="str">
            <v>AD Portal system - Frontend - Web</v>
          </cell>
          <cell r="H79" t="str">
            <v>Prophet</v>
          </cell>
          <cell r="K79" t="str">
            <v>Tien, Nguyen Huy [Tech/Policy Admin System]</v>
          </cell>
        </row>
        <row r="80">
          <cell r="F80" t="str">
            <v>CX Platform (Qualtrics) - Technology Product</v>
          </cell>
          <cell r="H80" t="str">
            <v>OpenShift</v>
          </cell>
          <cell r="K80" t="str">
            <v>Toan, Ha Thai [Tech/Customer Digital Systems Intern]</v>
          </cell>
        </row>
        <row r="81">
          <cell r="F81" t="str">
            <v>DFVN Portal - Monolith – Web (FE + BE)</v>
          </cell>
          <cell r="H81" t="str">
            <v>Online Payment</v>
          </cell>
          <cell r="K81" t="str">
            <v>Phuc, Cao Hong [Tech/Customer Digital Systems/Outsource]</v>
          </cell>
        </row>
        <row r="82">
          <cell r="F82" t="str">
            <v>DLDreampad - Frontend – Mobile iOS</v>
          </cell>
          <cell r="H82" t="str">
            <v>Email Service</v>
          </cell>
          <cell r="K82" t="str">
            <v>Lieu, Tran Thi Thuy [Tech/Customer Digital Systems]</v>
          </cell>
        </row>
        <row r="83">
          <cell r="F83" t="str">
            <v>DLVNSCAN - Monolith – Web (FE + BE)</v>
          </cell>
          <cell r="H83" t="str">
            <v>PMS</v>
          </cell>
          <cell r="K83" t="str">
            <v>Nam, Nguyen Tien [Tech/Corporate Support Systems/Outsource]</v>
          </cell>
        </row>
        <row r="84">
          <cell r="F84" t="str">
            <v>ePolicy System - Monolith – Web (FE + BE)</v>
          </cell>
          <cell r="H84" t="str">
            <v>eKYC</v>
          </cell>
          <cell r="K84" t="str">
            <v>Tai, Nguyen Anh [Tech/Data Management Platform]</v>
          </cell>
        </row>
        <row r="85">
          <cell r="F85" t="str">
            <v>iHRP System - Monolith – Web (FE + BE)</v>
          </cell>
          <cell r="H85" t="str">
            <v>iTRUST DFVN</v>
          </cell>
          <cell r="K85" t="str">
            <v>Nam, Vo Thanh [Tech/Distribution Digital Systems]</v>
          </cell>
        </row>
        <row r="86">
          <cell r="F86" t="str">
            <v>Portia System - Monolith – Web (FE + BE)</v>
          </cell>
          <cell r="K86" t="str">
            <v>Tri, Tran Cao [Tech/Distribution Digital Systems]</v>
          </cell>
        </row>
        <row r="87">
          <cell r="F87" t="str">
            <v>Sendy System - Technology Product</v>
          </cell>
          <cell r="K87" t="str">
            <v>Chien, Pham Van Minh [Distribution Administration Sys/Outsource]</v>
          </cell>
        </row>
        <row r="88">
          <cell r="F88" t="str">
            <v>SUN system - Technology Product</v>
          </cell>
          <cell r="K88" t="str">
            <v>Huyen, Nguyen Thi Thu [Tech/Customer Digital Systems]</v>
          </cell>
        </row>
        <row r="89">
          <cell r="F89" t="str">
            <v>VPN - Technology Product</v>
          </cell>
          <cell r="K89" t="str">
            <v>Truong, Pham Quang [Tech/Customer Digital Systems]</v>
          </cell>
        </row>
        <row r="90">
          <cell r="F90" t="str">
            <v>ZScaler - Technology Product</v>
          </cell>
          <cell r="K90" t="str">
            <v>Hanh, Vo Thi My [Tech/Customer Digital Systems]</v>
          </cell>
        </row>
        <row r="91">
          <cell r="F91" t="str">
            <v>Customer Data Platform - Technology Product</v>
          </cell>
          <cell r="K91" t="str">
            <v>Ngan, Le Ngoc Kim [Tech/Data Management Platform]</v>
          </cell>
        </row>
        <row r="92">
          <cell r="F92" t="str">
            <v>New eLearning + TMS - Monolith – Web (FE + BE)</v>
          </cell>
          <cell r="K92" t="str">
            <v>Tuan, Nguyen Huu Anh [Tech/System Architecture]</v>
          </cell>
        </row>
        <row r="93">
          <cell r="F93" t="str">
            <v>Dai-ichi ON Covergo Platform (SOP) - Monolith – Backend</v>
          </cell>
          <cell r="K93" t="str">
            <v>Tai, Nguyen Nhat [Tech/Customer Digital Systems]</v>
          </cell>
        </row>
        <row r="94">
          <cell r="F94" t="str">
            <v>SMS/ZNS - Monolith – Backend - SMS</v>
          </cell>
          <cell r="K94" t="str">
            <v>Luan, Ta Anh [Tech/DMSSC]</v>
          </cell>
        </row>
        <row r="95">
          <cell r="F95" t="str">
            <v>D-Medic - Frontend - Web</v>
          </cell>
          <cell r="K95" t="str">
            <v>Nga, Le Thi Hoang [Tech/DMSSC]</v>
          </cell>
        </row>
        <row r="96">
          <cell r="F96" t="str">
            <v>D-Medic - Monolith – Backend</v>
          </cell>
          <cell r="K96" t="str">
            <v>Anh, Nguyen Tuan [Tech/DMSSC]</v>
          </cell>
        </row>
        <row r="97">
          <cell r="F97" t="str">
            <v>Ingenium - Frontend - Web - Pathfinder</v>
          </cell>
          <cell r="K97" t="str">
            <v>An, Nguyen Pham Quoc [Tech/Customer Service Systems Intern]</v>
          </cell>
        </row>
        <row r="98">
          <cell r="F98" t="str">
            <v>Ingenium - Monolith – Backend - ProductXpress</v>
          </cell>
          <cell r="K98" t="str">
            <v>Phuc, Dinh Pham Hoang [Tech/DMSSC]</v>
          </cell>
        </row>
        <row r="99">
          <cell r="F99" t="str">
            <v>AD Portal system - Frontend – Mobile iOS</v>
          </cell>
          <cell r="K99" t="str">
            <v>Tung, Huynh Ngoc Thanh [Tech/DMSSC]</v>
          </cell>
        </row>
        <row r="100">
          <cell r="F100" t="str">
            <v>AD Portal system - Frontend – Mobile Android</v>
          </cell>
          <cell r="K100" t="str">
            <v>Due, Pham Quang [Tech/DMSSC]</v>
          </cell>
        </row>
        <row r="101">
          <cell r="F101" t="str">
            <v>Customer Service Portal (CSP) - Monolith – Web (FE + BE)</v>
          </cell>
          <cell r="K101" t="str">
            <v>Nhan, Huynh Thi Hoai [Tech/Customer Service Systems]</v>
          </cell>
        </row>
        <row r="102">
          <cell r="F102" t="str">
            <v>DMS - Monolith – Web (FE + BE)</v>
          </cell>
          <cell r="K102" t="str">
            <v>Dung, Nguyen Quoc [Tech/Customer Service Systems]</v>
          </cell>
        </row>
        <row r="103">
          <cell r="F103" t="str">
            <v>Premium Collection Services - Monolith – Backend</v>
          </cell>
          <cell r="K103" t="str">
            <v>Nhat, Pham Duy [Tech/Customer Service Systems]</v>
          </cell>
        </row>
        <row r="104">
          <cell r="F104" t="str">
            <v>Call Center Management (CCM) - Monolith – Web (FE + BE)</v>
          </cell>
          <cell r="K104" t="str">
            <v>Phuong, Nguyen Van [Tech/Distribution Administration System]</v>
          </cell>
        </row>
        <row r="105">
          <cell r="F105" t="str">
            <v>D-Medic - Frontend – Mobile Android</v>
          </cell>
          <cell r="K105" t="str">
            <v>Quy, Nguyen Ngoc [Tech/Customer Service Systems]</v>
          </cell>
        </row>
        <row r="106">
          <cell r="F106" t="str">
            <v>Customer Contact Management System (CCMS/ACMS) - Monolith – Web (FE + BE)</v>
          </cell>
          <cell r="K106" t="str">
            <v>Linh, Tran Thanh [Tech/Customer Service Systems]</v>
          </cell>
        </row>
        <row r="107">
          <cell r="F107" t="str">
            <v>Progiss - Monolith – Web (FE + BE)</v>
          </cell>
          <cell r="K107" t="str">
            <v>Hoa, Nguyen Thi Ngoc [Tech/Customer Service Systems]</v>
          </cell>
        </row>
        <row r="108">
          <cell r="F108" t="str">
            <v>Online Payment - Monolith – Web (FE + BE)</v>
          </cell>
          <cell r="K108" t="str">
            <v>Truc, Nguyen Thanh [Tech/System Architecture]</v>
          </cell>
        </row>
        <row r="109">
          <cell r="F109" t="str">
            <v>Email Service - Monolith – Backend</v>
          </cell>
          <cell r="K109" t="str">
            <v>Khanh, Truong Nguyen [Tech/System Architecture]</v>
          </cell>
        </row>
        <row r="110">
          <cell r="F110" t="str">
            <v>Online Payment - Monolith – Backend</v>
          </cell>
          <cell r="K110" t="str">
            <v>Khiem, Do Thanh [Tech/System Architecture]</v>
          </cell>
        </row>
        <row r="111">
          <cell r="F111" t="str">
            <v>eApplication (D-Success, ADP) - Monolith – Backend</v>
          </cell>
        </row>
        <row r="112">
          <cell r="F112" t="str">
            <v>eApplication (D-Success, ADP) - Frontend - Web</v>
          </cell>
        </row>
        <row r="113">
          <cell r="F113" t="str">
            <v>e-CV (D-Success) - Monolith – Backend</v>
          </cell>
        </row>
        <row r="114">
          <cell r="F114" t="str">
            <v>e-CV (D-Success) - Frontend - Web</v>
          </cell>
        </row>
        <row r="115">
          <cell r="F115" t="str">
            <v>Recording(D-Success, ADP) - Monolith – Backend</v>
          </cell>
        </row>
        <row r="116">
          <cell r="F116" t="str">
            <v>DLDreampad - Frontend – Mobile iOS</v>
          </cell>
        </row>
        <row r="117">
          <cell r="F117" t="str">
            <v>DLDreampad - Frontend – Mobile Android</v>
          </cell>
        </row>
        <row r="118">
          <cell r="F118" t="str">
            <v/>
          </cell>
        </row>
        <row r="119">
          <cell r="F119" t="str">
            <v>eKYC - Backend – Microservice</v>
          </cell>
        </row>
        <row r="120">
          <cell r="F120" t="str">
            <v>eKYC - Frontend - Web</v>
          </cell>
        </row>
        <row r="121">
          <cell r="F121" t="str">
            <v>eKYC - Shared – SDK - iOS</v>
          </cell>
        </row>
        <row r="122">
          <cell r="F122" t="str">
            <v>eKYC - Shared – SDK - Android</v>
          </cell>
        </row>
        <row r="123">
          <cell r="F123" t="str">
            <v>New eLearning + TMS - Monolith – Web (FE + BE)</v>
          </cell>
        </row>
        <row r="124">
          <cell r="F124" t="str">
            <v>iTRUST DFVN - Frontend – Mobile Android</v>
          </cell>
        </row>
        <row r="125">
          <cell r="F125" t="str">
            <v>iTRUST DFVN - Frontend – Mobile iOS</v>
          </cell>
        </row>
        <row r="126">
          <cell r="F126" t="str">
            <v>PMS - Technology Product</v>
          </cell>
        </row>
        <row r="127">
          <cell r="F127" t="str">
            <v/>
          </cell>
        </row>
        <row r="128">
          <cell r="F128" t="str">
            <v/>
          </cell>
        </row>
        <row r="129">
          <cell r="F129" t="str">
            <v/>
          </cell>
        </row>
        <row r="130">
          <cell r="F130" t="str">
            <v/>
          </cell>
        </row>
        <row r="131">
          <cell r="F131" t="str">
            <v/>
          </cell>
        </row>
        <row r="132">
          <cell r="F132" t="str">
            <v/>
          </cell>
        </row>
        <row r="133">
          <cell r="F133" t="str">
            <v/>
          </cell>
        </row>
        <row r="134">
          <cell r="F134" t="str">
            <v/>
          </cell>
        </row>
        <row r="135">
          <cell r="F135" t="str">
            <v/>
          </cell>
        </row>
        <row r="136">
          <cell r="F136" t="str">
            <v/>
          </cell>
        </row>
        <row r="137">
          <cell r="F137" t="str">
            <v/>
          </cell>
        </row>
        <row r="138">
          <cell r="F138" t="str">
            <v/>
          </cell>
        </row>
        <row r="139">
          <cell r="F139" t="str">
            <v/>
          </cell>
        </row>
        <row r="140">
          <cell r="F140" t="str">
            <v/>
          </cell>
        </row>
        <row r="141">
          <cell r="F141" t="str">
            <v/>
          </cell>
        </row>
        <row r="142">
          <cell r="F142" t="str">
            <v/>
          </cell>
        </row>
        <row r="143">
          <cell r="F143" t="str">
            <v/>
          </cell>
        </row>
        <row r="144">
          <cell r="F144" t="str">
            <v/>
          </cell>
        </row>
        <row r="145">
          <cell r="F145" t="str">
            <v/>
          </cell>
        </row>
        <row r="146">
          <cell r="F146" t="str">
            <v/>
          </cell>
        </row>
        <row r="147">
          <cell r="F147" t="str">
            <v/>
          </cell>
        </row>
        <row r="148">
          <cell r="F148" t="str">
            <v/>
          </cell>
        </row>
        <row r="149">
          <cell r="F149" t="str">
            <v/>
          </cell>
        </row>
        <row r="150">
          <cell r="F150" t="str">
            <v/>
          </cell>
        </row>
        <row r="151">
          <cell r="F151" t="str">
            <v/>
          </cell>
        </row>
        <row r="152">
          <cell r="F152" t="str">
            <v/>
          </cell>
        </row>
        <row r="153">
          <cell r="F153" t="str">
            <v/>
          </cell>
        </row>
        <row r="154">
          <cell r="F154" t="str">
            <v/>
          </cell>
        </row>
        <row r="155">
          <cell r="F155" t="str">
            <v/>
          </cell>
        </row>
        <row r="156">
          <cell r="F156" t="str">
            <v/>
          </cell>
        </row>
        <row r="157">
          <cell r="F157" t="str">
            <v/>
          </cell>
        </row>
        <row r="158">
          <cell r="F158" t="str">
            <v/>
          </cell>
        </row>
        <row r="159">
          <cell r="F159" t="str">
            <v/>
          </cell>
        </row>
        <row r="160">
          <cell r="F160" t="str">
            <v/>
          </cell>
        </row>
        <row r="161">
          <cell r="F161" t="str">
            <v/>
          </cell>
        </row>
        <row r="162">
          <cell r="F162" t="str">
            <v/>
          </cell>
        </row>
        <row r="163">
          <cell r="F163" t="str">
            <v/>
          </cell>
        </row>
        <row r="164">
          <cell r="F164" t="str">
            <v/>
          </cell>
        </row>
        <row r="165">
          <cell r="F165" t="str">
            <v/>
          </cell>
        </row>
        <row r="166">
          <cell r="F166" t="str">
            <v/>
          </cell>
        </row>
        <row r="167">
          <cell r="F167" t="str">
            <v/>
          </cell>
        </row>
        <row r="168">
          <cell r="F168" t="str">
            <v/>
          </cell>
        </row>
        <row r="169">
          <cell r="F169" t="str">
            <v/>
          </cell>
        </row>
        <row r="170">
          <cell r="F170" t="str">
            <v/>
          </cell>
        </row>
        <row r="171">
          <cell r="F171" t="str">
            <v/>
          </cell>
        </row>
        <row r="172">
          <cell r="F172" t="str">
            <v/>
          </cell>
        </row>
        <row r="173">
          <cell r="F173" t="str">
            <v/>
          </cell>
        </row>
        <row r="174">
          <cell r="F174" t="str">
            <v/>
          </cell>
        </row>
        <row r="175">
          <cell r="F175" t="str">
            <v/>
          </cell>
        </row>
        <row r="176">
          <cell r="F176" t="str">
            <v/>
          </cell>
        </row>
        <row r="177">
          <cell r="F177" t="str">
            <v/>
          </cell>
        </row>
        <row r="178">
          <cell r="F178" t="str">
            <v/>
          </cell>
        </row>
        <row r="179">
          <cell r="F179" t="str">
            <v/>
          </cell>
        </row>
        <row r="180">
          <cell r="F180" t="str">
            <v/>
          </cell>
        </row>
        <row r="181">
          <cell r="F181" t="str">
            <v/>
          </cell>
        </row>
        <row r="182">
          <cell r="F182" t="str">
            <v/>
          </cell>
        </row>
        <row r="183">
          <cell r="F183" t="str">
            <v/>
          </cell>
        </row>
        <row r="184">
          <cell r="F184" t="str">
            <v/>
          </cell>
        </row>
        <row r="185">
          <cell r="F185" t="str">
            <v/>
          </cell>
        </row>
        <row r="186">
          <cell r="F186" t="str">
            <v/>
          </cell>
        </row>
        <row r="187">
          <cell r="F187" t="str">
            <v/>
          </cell>
        </row>
        <row r="188">
          <cell r="F188" t="str">
            <v/>
          </cell>
        </row>
        <row r="189">
          <cell r="F189" t="str">
            <v/>
          </cell>
        </row>
        <row r="190">
          <cell r="F190" t="str">
            <v/>
          </cell>
        </row>
        <row r="191">
          <cell r="F191" t="str">
            <v/>
          </cell>
        </row>
        <row r="192">
          <cell r="F192" t="str">
            <v/>
          </cell>
        </row>
        <row r="193">
          <cell r="F193" t="str">
            <v/>
          </cell>
        </row>
        <row r="194">
          <cell r="F194" t="str">
            <v/>
          </cell>
        </row>
        <row r="195">
          <cell r="F195" t="str">
            <v/>
          </cell>
        </row>
        <row r="196">
          <cell r="F196" t="str">
            <v/>
          </cell>
        </row>
        <row r="197">
          <cell r="F197" t="str">
            <v/>
          </cell>
        </row>
        <row r="198">
          <cell r="F198" t="str">
            <v/>
          </cell>
        </row>
        <row r="199">
          <cell r="F199" t="str">
            <v/>
          </cell>
        </row>
        <row r="200">
          <cell r="F200" t="str">
            <v/>
          </cell>
        </row>
        <row r="201">
          <cell r="F201" t="str">
            <v/>
          </cell>
        </row>
        <row r="202">
          <cell r="F202" t="str">
            <v/>
          </cell>
        </row>
        <row r="203">
          <cell r="F203" t="str">
            <v/>
          </cell>
        </row>
        <row r="204">
          <cell r="F204" t="str">
            <v/>
          </cell>
        </row>
        <row r="205">
          <cell r="F205" t="str">
            <v/>
          </cell>
        </row>
        <row r="206">
          <cell r="F206" t="str">
            <v/>
          </cell>
        </row>
        <row r="207">
          <cell r="F207" t="str">
            <v/>
          </cell>
        </row>
        <row r="208">
          <cell r="F208" t="str">
            <v/>
          </cell>
        </row>
        <row r="209">
          <cell r="F209" t="str">
            <v/>
          </cell>
        </row>
        <row r="210">
          <cell r="F210" t="str">
            <v/>
          </cell>
        </row>
        <row r="211">
          <cell r="F211" t="str">
            <v/>
          </cell>
        </row>
        <row r="212">
          <cell r="F212" t="str">
            <v/>
          </cell>
        </row>
        <row r="213">
          <cell r="F213" t="str">
            <v/>
          </cell>
        </row>
        <row r="214">
          <cell r="F214" t="str">
            <v/>
          </cell>
        </row>
        <row r="215">
          <cell r="F215" t="str">
            <v/>
          </cell>
        </row>
        <row r="216">
          <cell r="F216" t="str">
            <v/>
          </cell>
        </row>
        <row r="217">
          <cell r="F217" t="str">
            <v/>
          </cell>
        </row>
        <row r="218">
          <cell r="F218" t="str">
            <v/>
          </cell>
        </row>
        <row r="219">
          <cell r="F219" t="str">
            <v/>
          </cell>
        </row>
        <row r="220">
          <cell r="F220" t="str">
            <v/>
          </cell>
        </row>
        <row r="221">
          <cell r="F221" t="str">
            <v/>
          </cell>
        </row>
        <row r="222">
          <cell r="F222" t="str">
            <v/>
          </cell>
        </row>
        <row r="223">
          <cell r="F223" t="str">
            <v/>
          </cell>
        </row>
        <row r="224">
          <cell r="F224" t="str">
            <v/>
          </cell>
        </row>
        <row r="225">
          <cell r="F225" t="str">
            <v/>
          </cell>
        </row>
        <row r="226">
          <cell r="F226" t="str">
            <v/>
          </cell>
        </row>
        <row r="227">
          <cell r="F227" t="str">
            <v/>
          </cell>
        </row>
        <row r="228">
          <cell r="F228" t="str">
            <v/>
          </cell>
        </row>
        <row r="229">
          <cell r="F229" t="str">
            <v/>
          </cell>
        </row>
        <row r="230">
          <cell r="F230" t="str">
            <v/>
          </cell>
        </row>
        <row r="231">
          <cell r="F231" t="str">
            <v/>
          </cell>
        </row>
        <row r="232">
          <cell r="F232" t="str">
            <v/>
          </cell>
        </row>
        <row r="233">
          <cell r="F233" t="str">
            <v/>
          </cell>
        </row>
        <row r="234">
          <cell r="F234" t="str">
            <v/>
          </cell>
        </row>
        <row r="235">
          <cell r="F235" t="str">
            <v/>
          </cell>
        </row>
        <row r="236">
          <cell r="F236" t="str">
            <v/>
          </cell>
        </row>
        <row r="237">
          <cell r="F237" t="str">
            <v/>
          </cell>
        </row>
        <row r="238">
          <cell r="F238" t="str">
            <v/>
          </cell>
        </row>
        <row r="239">
          <cell r="F239" t="str">
            <v/>
          </cell>
        </row>
        <row r="240">
          <cell r="F240" t="str">
            <v/>
          </cell>
        </row>
        <row r="241">
          <cell r="F241" t="str">
            <v/>
          </cell>
        </row>
        <row r="242">
          <cell r="F242" t="str">
            <v/>
          </cell>
        </row>
        <row r="243">
          <cell r="F243" t="str">
            <v/>
          </cell>
        </row>
        <row r="244">
          <cell r="F244" t="str">
            <v/>
          </cell>
        </row>
        <row r="245">
          <cell r="F245" t="str">
            <v/>
          </cell>
        </row>
        <row r="246">
          <cell r="F246" t="str">
            <v/>
          </cell>
        </row>
        <row r="247">
          <cell r="F247" t="str">
            <v/>
          </cell>
        </row>
        <row r="248">
          <cell r="F248" t="str">
            <v/>
          </cell>
        </row>
        <row r="249">
          <cell r="F249" t="str">
            <v/>
          </cell>
        </row>
        <row r="250">
          <cell r="F250" t="str">
            <v/>
          </cell>
        </row>
        <row r="251">
          <cell r="F251" t="str">
            <v/>
          </cell>
        </row>
        <row r="252">
          <cell r="F252" t="str">
            <v/>
          </cell>
        </row>
        <row r="253">
          <cell r="F253" t="str">
            <v/>
          </cell>
        </row>
        <row r="254">
          <cell r="F254" t="str">
            <v/>
          </cell>
        </row>
        <row r="255">
          <cell r="F255" t="str">
            <v/>
          </cell>
        </row>
        <row r="256">
          <cell r="F256" t="str">
            <v/>
          </cell>
        </row>
        <row r="257">
          <cell r="F257" t="str">
            <v/>
          </cell>
        </row>
        <row r="258">
          <cell r="F258" t="str">
            <v/>
          </cell>
        </row>
        <row r="259">
          <cell r="F259" t="str">
            <v/>
          </cell>
        </row>
        <row r="260">
          <cell r="F260" t="str">
            <v/>
          </cell>
        </row>
        <row r="261">
          <cell r="F261" t="str">
            <v/>
          </cell>
        </row>
        <row r="262">
          <cell r="F262" t="str">
            <v/>
          </cell>
        </row>
        <row r="263">
          <cell r="F263" t="str">
            <v/>
          </cell>
        </row>
        <row r="264">
          <cell r="F264" t="str">
            <v/>
          </cell>
        </row>
        <row r="265">
          <cell r="F265" t="str">
            <v/>
          </cell>
        </row>
        <row r="266">
          <cell r="F266" t="str">
            <v/>
          </cell>
        </row>
        <row r="267">
          <cell r="F267" t="str">
            <v/>
          </cell>
        </row>
        <row r="268">
          <cell r="F268" t="str">
            <v/>
          </cell>
        </row>
        <row r="269">
          <cell r="F269" t="str">
            <v/>
          </cell>
        </row>
        <row r="270">
          <cell r="F270" t="str">
            <v/>
          </cell>
        </row>
        <row r="271">
          <cell r="F271" t="str">
            <v/>
          </cell>
        </row>
        <row r="272">
          <cell r="F272" t="str">
            <v/>
          </cell>
        </row>
        <row r="273">
          <cell r="F273" t="str">
            <v/>
          </cell>
        </row>
        <row r="274">
          <cell r="F274" t="str">
            <v/>
          </cell>
        </row>
        <row r="275">
          <cell r="F275" t="str">
            <v/>
          </cell>
        </row>
        <row r="276">
          <cell r="F276" t="str">
            <v/>
          </cell>
        </row>
        <row r="277">
          <cell r="F277" t="str">
            <v/>
          </cell>
        </row>
        <row r="278">
          <cell r="F278" t="str">
            <v/>
          </cell>
        </row>
        <row r="279">
          <cell r="F279" t="str">
            <v/>
          </cell>
        </row>
        <row r="280">
          <cell r="F280" t="str">
            <v/>
          </cell>
        </row>
        <row r="281">
          <cell r="F281" t="str">
            <v/>
          </cell>
        </row>
        <row r="282">
          <cell r="F282" t="str">
            <v/>
          </cell>
        </row>
        <row r="283">
          <cell r="F283" t="str">
            <v/>
          </cell>
        </row>
        <row r="284">
          <cell r="F284" t="str">
            <v/>
          </cell>
        </row>
        <row r="285">
          <cell r="F285" t="str">
            <v/>
          </cell>
        </row>
        <row r="286">
          <cell r="F286" t="str">
            <v/>
          </cell>
        </row>
        <row r="287">
          <cell r="F287" t="str">
            <v/>
          </cell>
        </row>
        <row r="288">
          <cell r="F288" t="str">
            <v/>
          </cell>
        </row>
        <row r="289">
          <cell r="F289" t="str">
            <v/>
          </cell>
        </row>
        <row r="290">
          <cell r="F290" t="str">
            <v/>
          </cell>
        </row>
        <row r="291">
          <cell r="F291" t="str">
            <v/>
          </cell>
        </row>
        <row r="292">
          <cell r="F292" t="str">
            <v/>
          </cell>
        </row>
        <row r="293">
          <cell r="F293" t="str">
            <v/>
          </cell>
        </row>
        <row r="294">
          <cell r="F294" t="str">
            <v/>
          </cell>
        </row>
        <row r="295">
          <cell r="F295" t="str">
            <v/>
          </cell>
        </row>
        <row r="296">
          <cell r="F296" t="str">
            <v/>
          </cell>
        </row>
        <row r="297">
          <cell r="F297" t="str">
            <v/>
          </cell>
        </row>
        <row r="298">
          <cell r="F298" t="str">
            <v/>
          </cell>
        </row>
        <row r="299">
          <cell r="F299" t="str">
            <v/>
          </cell>
        </row>
        <row r="300">
          <cell r="F300" t="str">
            <v/>
          </cell>
        </row>
        <row r="301">
          <cell r="F301" t="str">
            <v/>
          </cell>
        </row>
        <row r="302">
          <cell r="F302" t="str">
            <v/>
          </cell>
        </row>
        <row r="303">
          <cell r="F303" t="str">
            <v/>
          </cell>
        </row>
        <row r="304">
          <cell r="F304" t="str">
            <v/>
          </cell>
        </row>
        <row r="305">
          <cell r="F305" t="str">
            <v/>
          </cell>
        </row>
        <row r="306">
          <cell r="F306" t="str">
            <v/>
          </cell>
        </row>
        <row r="307">
          <cell r="F307" t="str">
            <v/>
          </cell>
        </row>
        <row r="308">
          <cell r="F308" t="str">
            <v/>
          </cell>
        </row>
        <row r="309">
          <cell r="F309" t="str">
            <v/>
          </cell>
        </row>
        <row r="310">
          <cell r="F310" t="str">
            <v/>
          </cell>
        </row>
        <row r="311">
          <cell r="F311" t="str">
            <v/>
          </cell>
        </row>
        <row r="312">
          <cell r="F312" t="str">
            <v/>
          </cell>
        </row>
        <row r="313">
          <cell r="F313" t="str">
            <v/>
          </cell>
        </row>
        <row r="314">
          <cell r="F314" t="str">
            <v/>
          </cell>
        </row>
        <row r="315">
          <cell r="F315" t="str">
            <v/>
          </cell>
        </row>
        <row r="316">
          <cell r="F316" t="str">
            <v/>
          </cell>
        </row>
        <row r="317">
          <cell r="F317" t="str">
            <v/>
          </cell>
        </row>
        <row r="318">
          <cell r="F318" t="str">
            <v/>
          </cell>
        </row>
        <row r="319">
          <cell r="F319" t="str">
            <v/>
          </cell>
        </row>
        <row r="320">
          <cell r="F320" t="str">
            <v/>
          </cell>
        </row>
        <row r="321">
          <cell r="F321" t="str">
            <v/>
          </cell>
        </row>
        <row r="322">
          <cell r="F322" t="str">
            <v/>
          </cell>
        </row>
        <row r="323">
          <cell r="F323" t="str">
            <v/>
          </cell>
        </row>
        <row r="324">
          <cell r="F324" t="str">
            <v/>
          </cell>
        </row>
        <row r="325">
          <cell r="F325" t="str">
            <v/>
          </cell>
        </row>
        <row r="326">
          <cell r="F326" t="str">
            <v/>
          </cell>
        </row>
        <row r="327">
          <cell r="F327" t="str">
            <v/>
          </cell>
        </row>
        <row r="328">
          <cell r="F328" t="str">
            <v/>
          </cell>
        </row>
        <row r="329">
          <cell r="F329" t="str">
            <v/>
          </cell>
        </row>
        <row r="330">
          <cell r="F330" t="str">
            <v/>
          </cell>
        </row>
        <row r="331">
          <cell r="F331" t="str">
            <v/>
          </cell>
        </row>
        <row r="332">
          <cell r="F332" t="str">
            <v/>
          </cell>
        </row>
        <row r="333">
          <cell r="F333" t="str">
            <v/>
          </cell>
        </row>
        <row r="334">
          <cell r="F334" t="str">
            <v/>
          </cell>
        </row>
        <row r="335">
          <cell r="F335" t="str">
            <v/>
          </cell>
        </row>
        <row r="336">
          <cell r="F336" t="str">
            <v/>
          </cell>
        </row>
        <row r="337">
          <cell r="F337" t="str">
            <v/>
          </cell>
        </row>
        <row r="338">
          <cell r="F338" t="str">
            <v/>
          </cell>
        </row>
        <row r="339">
          <cell r="F339" t="str">
            <v/>
          </cell>
        </row>
        <row r="340">
          <cell r="F340" t="str">
            <v/>
          </cell>
        </row>
        <row r="341">
          <cell r="F341" t="str">
            <v/>
          </cell>
        </row>
        <row r="342">
          <cell r="F342" t="str">
            <v/>
          </cell>
        </row>
        <row r="343">
          <cell r="F343" t="str">
            <v/>
          </cell>
        </row>
        <row r="344">
          <cell r="F344" t="str">
            <v/>
          </cell>
        </row>
        <row r="345">
          <cell r="F345" t="str">
            <v/>
          </cell>
        </row>
        <row r="346">
          <cell r="F346" t="str">
            <v/>
          </cell>
        </row>
        <row r="347">
          <cell r="F347" t="str">
            <v/>
          </cell>
        </row>
        <row r="348">
          <cell r="F348" t="str">
            <v/>
          </cell>
        </row>
        <row r="349">
          <cell r="F349" t="str">
            <v/>
          </cell>
        </row>
        <row r="350">
          <cell r="F350" t="str">
            <v/>
          </cell>
        </row>
        <row r="351">
          <cell r="F351" t="str">
            <v/>
          </cell>
        </row>
        <row r="352">
          <cell r="F352" t="str">
            <v/>
          </cell>
        </row>
        <row r="353">
          <cell r="F353" t="str">
            <v/>
          </cell>
        </row>
        <row r="354">
          <cell r="F354" t="str">
            <v/>
          </cell>
        </row>
        <row r="355">
          <cell r="F355" t="str">
            <v/>
          </cell>
        </row>
        <row r="356">
          <cell r="F356" t="str">
            <v/>
          </cell>
        </row>
        <row r="357">
          <cell r="F357" t="str">
            <v/>
          </cell>
        </row>
        <row r="358">
          <cell r="F358" t="str">
            <v/>
          </cell>
        </row>
        <row r="359">
          <cell r="F359" t="str">
            <v/>
          </cell>
        </row>
        <row r="360">
          <cell r="F360" t="str">
            <v/>
          </cell>
        </row>
        <row r="361">
          <cell r="F361" t="str">
            <v/>
          </cell>
        </row>
        <row r="362">
          <cell r="F362" t="str">
            <v/>
          </cell>
        </row>
        <row r="363">
          <cell r="F363" t="str">
            <v/>
          </cell>
        </row>
        <row r="364">
          <cell r="F364" t="str">
            <v/>
          </cell>
        </row>
        <row r="365">
          <cell r="F365" t="str">
            <v/>
          </cell>
        </row>
        <row r="366">
          <cell r="F366" t="str">
            <v/>
          </cell>
        </row>
        <row r="367">
          <cell r="F367" t="str">
            <v/>
          </cell>
        </row>
        <row r="368">
          <cell r="F368" t="str">
            <v/>
          </cell>
        </row>
        <row r="369">
          <cell r="F369" t="str">
            <v/>
          </cell>
        </row>
        <row r="370">
          <cell r="F370" t="str">
            <v/>
          </cell>
        </row>
        <row r="371">
          <cell r="F371" t="str">
            <v/>
          </cell>
        </row>
        <row r="372">
          <cell r="F372" t="str">
            <v/>
          </cell>
        </row>
        <row r="373">
          <cell r="F373" t="str">
            <v/>
          </cell>
        </row>
        <row r="374">
          <cell r="F374" t="str">
            <v/>
          </cell>
        </row>
        <row r="375">
          <cell r="F375" t="str">
            <v/>
          </cell>
        </row>
        <row r="376">
          <cell r="F376" t="str">
            <v/>
          </cell>
        </row>
        <row r="377">
          <cell r="F377" t="str">
            <v/>
          </cell>
        </row>
        <row r="378">
          <cell r="F378" t="str">
            <v/>
          </cell>
        </row>
        <row r="379">
          <cell r="F379" t="str">
            <v/>
          </cell>
        </row>
        <row r="380">
          <cell r="F380" t="str">
            <v/>
          </cell>
        </row>
        <row r="381">
          <cell r="F381" t="str">
            <v/>
          </cell>
        </row>
        <row r="382">
          <cell r="F382" t="str">
            <v/>
          </cell>
        </row>
        <row r="383">
          <cell r="F383" t="str">
            <v/>
          </cell>
        </row>
        <row r="384">
          <cell r="F384" t="str">
            <v/>
          </cell>
        </row>
        <row r="385">
          <cell r="F385" t="str">
            <v/>
          </cell>
        </row>
        <row r="386">
          <cell r="F386" t="str">
            <v/>
          </cell>
        </row>
        <row r="387">
          <cell r="F387" t="str">
            <v/>
          </cell>
        </row>
        <row r="388">
          <cell r="F388" t="str">
            <v/>
          </cell>
        </row>
        <row r="389">
          <cell r="F389" t="str">
            <v/>
          </cell>
        </row>
        <row r="390">
          <cell r="F390" t="str">
            <v/>
          </cell>
        </row>
        <row r="391">
          <cell r="F391" t="str">
            <v/>
          </cell>
        </row>
        <row r="392">
          <cell r="F392" t="str">
            <v/>
          </cell>
        </row>
        <row r="393">
          <cell r="F393" t="str">
            <v/>
          </cell>
        </row>
        <row r="394">
          <cell r="F394" t="str">
            <v/>
          </cell>
        </row>
        <row r="395">
          <cell r="F395" t="str">
            <v/>
          </cell>
        </row>
        <row r="396">
          <cell r="F396" t="str">
            <v/>
          </cell>
        </row>
        <row r="397">
          <cell r="F397" t="str">
            <v/>
          </cell>
        </row>
        <row r="398">
          <cell r="F398" t="str">
            <v/>
          </cell>
        </row>
        <row r="399">
          <cell r="F399" t="str">
            <v/>
          </cell>
        </row>
        <row r="400">
          <cell r="F400" t="str">
            <v/>
          </cell>
        </row>
        <row r="401">
          <cell r="F401" t="str">
            <v/>
          </cell>
        </row>
        <row r="402">
          <cell r="F402" t="str">
            <v/>
          </cell>
        </row>
        <row r="403">
          <cell r="F403" t="str">
            <v/>
          </cell>
        </row>
        <row r="404">
          <cell r="F404" t="str">
            <v/>
          </cell>
        </row>
        <row r="405">
          <cell r="F405" t="str">
            <v/>
          </cell>
        </row>
        <row r="406">
          <cell r="F406" t="str">
            <v/>
          </cell>
        </row>
        <row r="407">
          <cell r="F407" t="str">
            <v/>
          </cell>
        </row>
        <row r="408">
          <cell r="F408" t="str">
            <v/>
          </cell>
        </row>
        <row r="409">
          <cell r="F409" t="str">
            <v/>
          </cell>
        </row>
        <row r="410">
          <cell r="F410" t="str">
            <v/>
          </cell>
        </row>
        <row r="411">
          <cell r="F411" t="str">
            <v/>
          </cell>
        </row>
        <row r="412">
          <cell r="F412" t="str">
            <v/>
          </cell>
        </row>
        <row r="413">
          <cell r="F413" t="str">
            <v/>
          </cell>
        </row>
        <row r="414">
          <cell r="F414" t="str">
            <v/>
          </cell>
        </row>
        <row r="415">
          <cell r="F415" t="str">
            <v/>
          </cell>
        </row>
        <row r="416">
          <cell r="F416" t="str">
            <v/>
          </cell>
        </row>
        <row r="417">
          <cell r="F417" t="str">
            <v/>
          </cell>
        </row>
        <row r="418">
          <cell r="F418" t="str">
            <v/>
          </cell>
        </row>
        <row r="419">
          <cell r="F419" t="str">
            <v/>
          </cell>
        </row>
        <row r="420">
          <cell r="F420" t="str">
            <v/>
          </cell>
        </row>
        <row r="421">
          <cell r="F421" t="str">
            <v/>
          </cell>
        </row>
        <row r="422">
          <cell r="F422" t="str">
            <v/>
          </cell>
        </row>
        <row r="423">
          <cell r="F423" t="str">
            <v/>
          </cell>
        </row>
        <row r="424">
          <cell r="F424" t="str">
            <v/>
          </cell>
        </row>
        <row r="425">
          <cell r="F425" t="str">
            <v/>
          </cell>
        </row>
        <row r="426">
          <cell r="F426" t="str">
            <v/>
          </cell>
        </row>
        <row r="427">
          <cell r="F427" t="str">
            <v/>
          </cell>
        </row>
        <row r="428">
          <cell r="F428" t="str">
            <v/>
          </cell>
        </row>
        <row r="429">
          <cell r="F429" t="str">
            <v/>
          </cell>
        </row>
        <row r="430">
          <cell r="F430" t="str">
            <v/>
          </cell>
        </row>
        <row r="431">
          <cell r="F431" t="str">
            <v/>
          </cell>
        </row>
        <row r="432">
          <cell r="F432" t="str">
            <v/>
          </cell>
        </row>
        <row r="433">
          <cell r="F433" t="str">
            <v/>
          </cell>
        </row>
        <row r="434">
          <cell r="F434" t="str">
            <v/>
          </cell>
        </row>
        <row r="435">
          <cell r="F435" t="str">
            <v/>
          </cell>
        </row>
        <row r="436">
          <cell r="F436" t="str">
            <v/>
          </cell>
        </row>
        <row r="437">
          <cell r="F437" t="str">
            <v/>
          </cell>
        </row>
        <row r="438">
          <cell r="F438" t="str">
            <v/>
          </cell>
        </row>
        <row r="439">
          <cell r="F439" t="str">
            <v/>
          </cell>
        </row>
        <row r="440">
          <cell r="F440" t="str">
            <v/>
          </cell>
        </row>
        <row r="441">
          <cell r="F441" t="str">
            <v/>
          </cell>
        </row>
        <row r="442">
          <cell r="F442" t="str">
            <v/>
          </cell>
        </row>
        <row r="443">
          <cell r="F443" t="str">
            <v/>
          </cell>
        </row>
        <row r="444">
          <cell r="F444" t="str">
            <v/>
          </cell>
        </row>
        <row r="445">
          <cell r="F445" t="str">
            <v/>
          </cell>
        </row>
        <row r="446">
          <cell r="F446" t="str">
            <v/>
          </cell>
        </row>
        <row r="447">
          <cell r="F447" t="str">
            <v/>
          </cell>
        </row>
        <row r="448">
          <cell r="F448" t="str">
            <v/>
          </cell>
        </row>
        <row r="449">
          <cell r="F449" t="str">
            <v/>
          </cell>
        </row>
        <row r="450">
          <cell r="F450" t="str">
            <v/>
          </cell>
        </row>
        <row r="451">
          <cell r="F451" t="str">
            <v/>
          </cell>
        </row>
        <row r="452">
          <cell r="F452" t="str">
            <v/>
          </cell>
        </row>
        <row r="453">
          <cell r="F453" t="str">
            <v/>
          </cell>
        </row>
        <row r="454">
          <cell r="F454" t="str">
            <v/>
          </cell>
        </row>
        <row r="455">
          <cell r="F455" t="str">
            <v/>
          </cell>
        </row>
        <row r="456">
          <cell r="F456" t="str">
            <v/>
          </cell>
        </row>
        <row r="457">
          <cell r="F457" t="str">
            <v/>
          </cell>
        </row>
        <row r="458">
          <cell r="F458" t="str">
            <v/>
          </cell>
        </row>
        <row r="459">
          <cell r="F459" t="str">
            <v/>
          </cell>
        </row>
        <row r="460">
          <cell r="F460" t="str">
            <v/>
          </cell>
        </row>
        <row r="461">
          <cell r="F461" t="str">
            <v/>
          </cell>
        </row>
        <row r="462">
          <cell r="F462" t="str">
            <v/>
          </cell>
        </row>
        <row r="463">
          <cell r="F463" t="str">
            <v/>
          </cell>
        </row>
        <row r="464">
          <cell r="F464" t="str">
            <v/>
          </cell>
        </row>
        <row r="465">
          <cell r="F465" t="str">
            <v/>
          </cell>
        </row>
        <row r="466">
          <cell r="F466" t="str">
            <v/>
          </cell>
        </row>
        <row r="467">
          <cell r="F467" t="str">
            <v/>
          </cell>
        </row>
        <row r="468">
          <cell r="F468" t="str">
            <v/>
          </cell>
        </row>
        <row r="469">
          <cell r="F469" t="str">
            <v/>
          </cell>
        </row>
        <row r="470">
          <cell r="F470" t="str">
            <v/>
          </cell>
        </row>
        <row r="471">
          <cell r="F471" t="str">
            <v/>
          </cell>
        </row>
        <row r="472">
          <cell r="F472" t="str">
            <v/>
          </cell>
        </row>
        <row r="473">
          <cell r="F473" t="str">
            <v/>
          </cell>
        </row>
        <row r="474">
          <cell r="F474" t="str">
            <v/>
          </cell>
        </row>
        <row r="475">
          <cell r="F475" t="str">
            <v/>
          </cell>
        </row>
        <row r="476">
          <cell r="F476" t="str">
            <v/>
          </cell>
        </row>
        <row r="477">
          <cell r="F477" t="str">
            <v/>
          </cell>
        </row>
        <row r="478">
          <cell r="F478" t="str">
            <v/>
          </cell>
        </row>
        <row r="479">
          <cell r="F479" t="str">
            <v/>
          </cell>
        </row>
        <row r="480">
          <cell r="F480" t="str">
            <v/>
          </cell>
        </row>
        <row r="481">
          <cell r="F481" t="str">
            <v/>
          </cell>
        </row>
        <row r="482">
          <cell r="F482" t="str">
            <v/>
          </cell>
        </row>
        <row r="483">
          <cell r="F483" t="str">
            <v/>
          </cell>
        </row>
        <row r="484">
          <cell r="F484" t="str">
            <v/>
          </cell>
        </row>
        <row r="485">
          <cell r="F485" t="str">
            <v/>
          </cell>
        </row>
        <row r="486">
          <cell r="F486" t="str">
            <v/>
          </cell>
        </row>
        <row r="487">
          <cell r="F487" t="str">
            <v/>
          </cell>
        </row>
        <row r="488">
          <cell r="F488" t="str">
            <v/>
          </cell>
        </row>
        <row r="489">
          <cell r="F489" t="str">
            <v/>
          </cell>
        </row>
        <row r="490">
          <cell r="F490" t="str">
            <v/>
          </cell>
        </row>
        <row r="491">
          <cell r="F491" t="str">
            <v/>
          </cell>
        </row>
        <row r="492">
          <cell r="F492" t="str">
            <v/>
          </cell>
        </row>
        <row r="493">
          <cell r="F493" t="str">
            <v/>
          </cell>
        </row>
        <row r="494">
          <cell r="F494" t="str">
            <v/>
          </cell>
        </row>
        <row r="495">
          <cell r="F495" t="str">
            <v/>
          </cell>
        </row>
        <row r="496">
          <cell r="F496" t="str">
            <v/>
          </cell>
        </row>
        <row r="497">
          <cell r="F497" t="str">
            <v/>
          </cell>
        </row>
        <row r="498">
          <cell r="F498" t="str">
            <v/>
          </cell>
        </row>
        <row r="499">
          <cell r="F499" t="str">
            <v/>
          </cell>
        </row>
        <row r="500">
          <cell r="F500" t="str">
            <v/>
          </cell>
        </row>
        <row r="501">
          <cell r="F501" t="str">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vironment_ServerSystem_List"/>
      <sheetName val="System"/>
      <sheetName val="PIC"/>
      <sheetName val="Tech Stack"/>
      <sheetName val="Operation"/>
      <sheetName val="RACI"/>
      <sheetName val="Master Data"/>
    </sheetNames>
    <sheetDataSet>
      <sheetData sheetId="0"/>
      <sheetData sheetId="1"/>
      <sheetData sheetId="2">
        <row r="5">
          <cell r="B5" t="str">
            <v>AD Portal system - Frontend - Web</v>
          </cell>
        </row>
      </sheetData>
      <sheetData sheetId="3"/>
      <sheetData sheetId="4"/>
      <sheetData sheetId="5"/>
      <sheetData sheetId="6">
        <row r="6">
          <cell r="F6" t="str">
            <v>Insight - Monolith – Web (FE + BE)</v>
          </cell>
          <cell r="H6" t="str">
            <v>Insight</v>
          </cell>
          <cell r="K6" t="str">
            <v>Ninh, Dang Khang [Tech/Distribution Digital Systems Intern]</v>
          </cell>
        </row>
        <row r="7">
          <cell r="F7" t="str">
            <v>eLearning + TMS - Monolith – Web (FE + BE)</v>
          </cell>
          <cell r="H7" t="str">
            <v>eLearning + TMS</v>
          </cell>
          <cell r="K7" t="str">
            <v>Quan, Nguyen Minh [Tech/Distribution Digital Systems Intern]</v>
          </cell>
        </row>
        <row r="8">
          <cell r="F8" t="str">
            <v>DLVN Website - Monolith – Web (FE + BE)</v>
          </cell>
          <cell r="H8" t="str">
            <v>DLVN Website</v>
          </cell>
          <cell r="K8" t="str">
            <v>Khoa, Pham Tran Dang [Tech/Distribution Digital Systems Intern]</v>
          </cell>
        </row>
        <row r="9">
          <cell r="F9" t="str">
            <v>PIP - Monolith – Web (FE + BE)</v>
          </cell>
          <cell r="H9" t="str">
            <v>PIP</v>
          </cell>
          <cell r="K9" t="str">
            <v>Hung, Thach Phan Phu [Tech/Distribution Digital Systems]</v>
          </cell>
        </row>
        <row r="10">
          <cell r="F10" t="str">
            <v>Referral - Monolith – Web (FE + BE)</v>
          </cell>
          <cell r="H10" t="str">
            <v>Referral</v>
          </cell>
          <cell r="K10" t="str">
            <v>Thinh, Huynh Vu [Tech/Distribution Digital Systems]</v>
          </cell>
        </row>
        <row r="11">
          <cell r="F11" t="str">
            <v>Lucky Draw - Monolith – Web (FE + BE)</v>
          </cell>
          <cell r="H11" t="str">
            <v>Lucky Draw</v>
          </cell>
          <cell r="K11" t="str">
            <v>Tat, Tran Thanh [Tech/Distribution Digital Systems]</v>
          </cell>
        </row>
        <row r="12">
          <cell r="F12" t="str">
            <v>Dai-ichi ON Covergo Platform (SOP) - Frontend - Web</v>
          </cell>
          <cell r="H12" t="str">
            <v>Dai-ichi ON Covergo Platform (SOP)</v>
          </cell>
          <cell r="K12" t="str">
            <v>Quan, Lam Minh [Tech/Distribution Digital Systems]</v>
          </cell>
        </row>
        <row r="13">
          <cell r="F13" t="str">
            <v>DFVN Website - Monolith – Web (FE + BE)</v>
          </cell>
          <cell r="H13" t="str">
            <v>DFVN Website</v>
          </cell>
          <cell r="K13" t="str">
            <v>Tinh, Nguyen Trung [Tech/Distribution Digital Systems]</v>
          </cell>
        </row>
        <row r="14">
          <cell r="F14" t="str">
            <v>AI System - Backend – Microservice</v>
          </cell>
          <cell r="H14" t="str">
            <v>AI System</v>
          </cell>
          <cell r="K14" t="str">
            <v>Hieu, Nguyen Le Trung [Tech/Distribution Digital Systems]</v>
          </cell>
        </row>
        <row r="15">
          <cell r="F15" t="str">
            <v>Ingenium - Monolith – Backend - Ingenium App</v>
          </cell>
          <cell r="H15" t="str">
            <v>Ingenium</v>
          </cell>
          <cell r="K15" t="str">
            <v>Quy, Luong Trong [Tech/Distribution Digital Systems]</v>
          </cell>
        </row>
        <row r="16">
          <cell r="F16" t="str">
            <v>D-Success - Frontend - Web</v>
          </cell>
          <cell r="H16" t="str">
            <v>D-Connect</v>
          </cell>
          <cell r="K16" t="str">
            <v>Phuoc, Vo Nguyen Hong [Tech/Distribution Digital Systems]</v>
          </cell>
        </row>
        <row r="17">
          <cell r="F17" t="str">
            <v>D-Success - Monolith – Backend - Springboot</v>
          </cell>
          <cell r="H17" t="str">
            <v>D-Success</v>
          </cell>
          <cell r="K17" t="str">
            <v>Tinh, Nguyen Huu [Tech/Distribution Digital Systems]</v>
          </cell>
        </row>
        <row r="18">
          <cell r="F18" t="str">
            <v>D-Success - Monolith – Backend - ACE</v>
          </cell>
          <cell r="H18" t="str">
            <v>eApplication (D-Success, ADP)</v>
          </cell>
          <cell r="K18" t="str">
            <v>Nghia, Nguyen Van [Tech/Business Process Automation/Outsource]</v>
          </cell>
        </row>
        <row r="19">
          <cell r="F19" t="str">
            <v>D-Success - Frontend – Mobile iOS</v>
          </cell>
          <cell r="H19" t="str">
            <v>e-CV (D-Success)</v>
          </cell>
          <cell r="K19" t="str">
            <v>Quan, Tu Van Nguyen Anh [Tech/Business Process Auto Intern]</v>
          </cell>
        </row>
        <row r="20">
          <cell r="F20" t="str">
            <v>D-Success - Frontend – Mobile Android</v>
          </cell>
          <cell r="H20" t="str">
            <v>Recording(D-Success, ADP)</v>
          </cell>
          <cell r="K20" t="str">
            <v>Khoa, Bui Vu Anh [Tech/Business Process Automation Intern]</v>
          </cell>
        </row>
        <row r="21">
          <cell r="F21" t="str">
            <v>eApplication (D-Success, ADP) - Shared – SDK - IOS</v>
          </cell>
          <cell r="H21" t="str">
            <v>Customer Service Portal (CSP)</v>
          </cell>
          <cell r="K21" t="str">
            <v>Duc, Pham Huu [Tech/Business Process Automation]</v>
          </cell>
        </row>
        <row r="22">
          <cell r="F22" t="str">
            <v>eApplication (D-Success, ADP) - Shared – SDK - Android</v>
          </cell>
          <cell r="H22" t="str">
            <v>Loyalty Point</v>
          </cell>
          <cell r="K22" t="str">
            <v>Nhat, Le Khanh [Tech/Business Process Automation]</v>
          </cell>
        </row>
        <row r="23">
          <cell r="F23" t="str">
            <v>eApplication (D-Success, ADP) - Frontend - Web</v>
          </cell>
          <cell r="H23" t="str">
            <v>External Printing system</v>
          </cell>
          <cell r="K23" t="str">
            <v>Hung, Tran Van [Tech/Business Process Automation]</v>
          </cell>
        </row>
        <row r="24">
          <cell r="F24" t="str">
            <v>e-CV (D-Success) - Frontend - Web</v>
          </cell>
          <cell r="H24" t="str">
            <v>Premium Collection Services</v>
          </cell>
          <cell r="K24" t="str">
            <v>Thao, Phan Minh [Tech/Business Process Automation]</v>
          </cell>
        </row>
        <row r="25">
          <cell r="F25" t="str">
            <v>eApplication (D-Success, ADP) - Monolith – Backend</v>
          </cell>
          <cell r="H25" t="str">
            <v>SMS/ZNS</v>
          </cell>
          <cell r="K25" t="str">
            <v>Hien, Le Thi Thu [Tech/Business Process Automation]</v>
          </cell>
        </row>
        <row r="26">
          <cell r="F26" t="str">
            <v>e-CV (D-Success) - Monolith – Backend</v>
          </cell>
          <cell r="H26" t="str">
            <v>Workflow (iBPS-AA) System</v>
          </cell>
          <cell r="K26" t="str">
            <v>Ra, Tang The [Tech/Business Process Automation]</v>
          </cell>
        </row>
        <row r="27">
          <cell r="F27" t="str">
            <v>Recording(D-Success, ADP) - Monolith – Backend</v>
          </cell>
          <cell r="H27" t="str">
            <v>Workflow (iBPS-NB,PS)</v>
          </cell>
          <cell r="K27" t="str">
            <v>Binh, Nguyen Thai [Tech/Business Process Automation]</v>
          </cell>
        </row>
        <row r="28">
          <cell r="F28" t="str">
            <v>Loyalty Point - Monolith – Web (FE + BE)</v>
          </cell>
          <cell r="H28" t="str">
            <v>Workflow Utility</v>
          </cell>
          <cell r="K28" t="str">
            <v>Khue, Nong Thuc [Tech/Sales Enablement Intern]</v>
          </cell>
        </row>
        <row r="29">
          <cell r="F29" t="str">
            <v>External Printing system - Monolith – Web (FE + BE)</v>
          </cell>
          <cell r="H29" t="str">
            <v>PAM</v>
          </cell>
          <cell r="K29" t="str">
            <v>Tam, Nguyen Duong Khanh [Tech/InsTech &amp; Innovation Intern]</v>
          </cell>
        </row>
        <row r="30">
          <cell r="F30" t="str">
            <v>PAM - Technology Product</v>
          </cell>
          <cell r="H30" t="str">
            <v>SIEM</v>
          </cell>
          <cell r="K30" t="str">
            <v>Luat, Vu Trong [Tech/Sales Enablement]</v>
          </cell>
        </row>
        <row r="31">
          <cell r="F31" t="str">
            <v>SMS/ZNS - Monolith – Backend - ZNS</v>
          </cell>
          <cell r="H31" t="str">
            <v>PBX</v>
          </cell>
          <cell r="K31" t="str">
            <v>An, Dang Hieu [Tech/InsTech &amp; Innovation]</v>
          </cell>
        </row>
        <row r="32">
          <cell r="F32" t="str">
            <v>Lead Management - Monolith – Web (FE + BE)</v>
          </cell>
          <cell r="H32" t="str">
            <v>Camera</v>
          </cell>
          <cell r="K32" t="str">
            <v>Dung, Lam Anh [Tech/Sales Enablement]</v>
          </cell>
        </row>
        <row r="33">
          <cell r="F33" t="str">
            <v>D-Connect - Monolith – Backend</v>
          </cell>
          <cell r="H33" t="str">
            <v>Access Door</v>
          </cell>
          <cell r="K33" t="str">
            <v>Phu, Nguyen Cong [Tech/InsTech &amp; Innovation]</v>
          </cell>
        </row>
        <row r="34">
          <cell r="F34" t="str">
            <v>D-Connect - Monolith – Backend - Partner</v>
          </cell>
          <cell r="H34" t="str">
            <v>Apex One</v>
          </cell>
          <cell r="K34" t="str">
            <v>Kinh, Bui Tan [Tech/InsTech &amp; Innovation]</v>
          </cell>
        </row>
        <row r="35">
          <cell r="F35" t="str">
            <v>D-Connect - Monolith – Web (FE + BE) - CMS</v>
          </cell>
          <cell r="H35" t="str">
            <v>WSUS</v>
          </cell>
          <cell r="K35" t="str">
            <v>Hang, Tran Thu [Tech/Sales Enablement]</v>
          </cell>
        </row>
        <row r="36">
          <cell r="F36" t="str">
            <v>D-Connect - Frontend - Web</v>
          </cell>
          <cell r="H36" t="str">
            <v>Commvault System</v>
          </cell>
          <cell r="K36" t="str">
            <v>Phuc, Tran Hoang [Tech/InsTech &amp; Innovation/Temp]</v>
          </cell>
        </row>
        <row r="37">
          <cell r="F37" t="str">
            <v>D-Connect - Frontend - Web - E-Docter</v>
          </cell>
          <cell r="H37" t="str">
            <v>File server</v>
          </cell>
          <cell r="K37" t="str">
            <v>Khanh, Tran Nguyen [Tech/InsTech &amp; Innovation/Temp]</v>
          </cell>
        </row>
        <row r="38">
          <cell r="F38" t="str">
            <v>D-Connect - Frontend – Mobile iOS</v>
          </cell>
          <cell r="H38" t="str">
            <v>Visual Source Safe</v>
          </cell>
          <cell r="K38" t="str">
            <v>Tai, Mai Duc [Tech/Sales Enablement]</v>
          </cell>
        </row>
        <row r="39">
          <cell r="F39" t="str">
            <v>D-Connect - Frontend – Mobile Android</v>
          </cell>
          <cell r="H39" t="str">
            <v>PVCS</v>
          </cell>
          <cell r="K39" t="str">
            <v>Sang, Nguyen Hong Hoan [Tech/InsTech &amp; Innovation]</v>
          </cell>
        </row>
        <row r="40">
          <cell r="F40" t="str">
            <v>Workflow (iBPS-AA) System - Monolith – Web (FE + BE)</v>
          </cell>
          <cell r="H40" t="str">
            <v>Microsoft Office 365</v>
          </cell>
          <cell r="K40" t="str">
            <v>Vuong, Pham Thien [Tech/InsTech &amp; Innovation]</v>
          </cell>
        </row>
        <row r="41">
          <cell r="F41" t="str">
            <v>Workflow (iBPS-NB,PS) - Monolith – Web (FE + BE)</v>
          </cell>
          <cell r="H41" t="str">
            <v>Azure DevOps</v>
          </cell>
          <cell r="K41" t="str">
            <v>My, Hoang Quoc [Tech/Sales Enablement]</v>
          </cell>
        </row>
        <row r="42">
          <cell r="F42" t="str">
            <v>Workflow Utility - Monolith – Backend</v>
          </cell>
          <cell r="H42" t="str">
            <v>Enterprise Data WareHouse</v>
          </cell>
          <cell r="K42" t="str">
            <v>Toan, Huynh Thanh [Tech/Sales Enablement]</v>
          </cell>
        </row>
        <row r="43">
          <cell r="F43" t="str">
            <v>OpenShift - Technology Product</v>
          </cell>
          <cell r="H43" t="str">
            <v>Zimbra mail System</v>
          </cell>
          <cell r="K43" t="str">
            <v>Ha, Nguyen Thi Thu [Tech/Governance &amp; Security]</v>
          </cell>
        </row>
        <row r="44">
          <cell r="F44" t="str">
            <v>AI System - Frontend - Web</v>
          </cell>
          <cell r="H44" t="str">
            <v>IIB Service Bus</v>
          </cell>
          <cell r="K44" t="str">
            <v>Chuong, Tran Minh [Tech/Governance &amp; Security]</v>
          </cell>
        </row>
        <row r="45">
          <cell r="F45" t="str">
            <v>PBX - Technology Product</v>
          </cell>
          <cell r="H45" t="str">
            <v>ETL</v>
          </cell>
          <cell r="K45" t="str">
            <v>Tuan, Ho Vu Anh [Tech/Governance &amp; Security]</v>
          </cell>
        </row>
        <row r="46">
          <cell r="F46" t="str">
            <v>Camera - Technology Product</v>
          </cell>
          <cell r="H46" t="str">
            <v>ODS Database</v>
          </cell>
          <cell r="K46" t="str">
            <v>Cuong, Do Quoc [Tech/Governance &amp; Security]</v>
          </cell>
        </row>
        <row r="47">
          <cell r="F47" t="str">
            <v>Access Door - Technology Product</v>
          </cell>
          <cell r="H47" t="str">
            <v>WAF F5</v>
          </cell>
          <cell r="K47" t="str">
            <v>Tung, Truong Tran Co [Tech/Network-Telecom &amp; Helpdesk]</v>
          </cell>
        </row>
        <row r="48">
          <cell r="F48" t="str">
            <v>Apex One - Technology Product</v>
          </cell>
          <cell r="H48" t="str">
            <v>EXTERNAL DNS</v>
          </cell>
          <cell r="K48" t="str">
            <v>Duy, Nguyen [Tech/Network-Telecom &amp; Helpdesk]</v>
          </cell>
        </row>
        <row r="49">
          <cell r="F49" t="str">
            <v>WSUS - Technology Product</v>
          </cell>
          <cell r="H49" t="str">
            <v>Active Directory</v>
          </cell>
          <cell r="K49" t="str">
            <v>Hien, Tran Van Dinh [Tech/Network-Telecom &amp; Helpdesk]</v>
          </cell>
        </row>
        <row r="50">
          <cell r="F50" t="str">
            <v>Commvault System - Technology Product</v>
          </cell>
          <cell r="H50" t="str">
            <v>D-Procurement</v>
          </cell>
          <cell r="K50" t="str">
            <v>Ngoc, Phan Nguyen Thai [Tech/Network-Telecom &amp; Helpdesk]</v>
          </cell>
        </row>
        <row r="51">
          <cell r="F51" t="str">
            <v>File server - Technology Product</v>
          </cell>
          <cell r="H51" t="str">
            <v>Epayment</v>
          </cell>
          <cell r="K51" t="str">
            <v>Thang, Huynh Cong [Tech/Network-Telecom &amp; Helpdesk]</v>
          </cell>
        </row>
        <row r="52">
          <cell r="F52" t="str">
            <v>Visual Source Safe - Technology Product</v>
          </cell>
          <cell r="H52" t="str">
            <v>ETax Invoice</v>
          </cell>
          <cell r="K52" t="str">
            <v>Tien, Nguyen Van [Tech/Network-Telecom &amp; Helpdesk]</v>
          </cell>
        </row>
        <row r="53">
          <cell r="F53" t="str">
            <v>PVCS - Technology Product</v>
          </cell>
          <cell r="H53" t="str">
            <v>System UIR</v>
          </cell>
          <cell r="K53" t="str">
            <v>Phuong, Tran Minh [Tech/Network-Telecom &amp; Helpdesk]</v>
          </cell>
        </row>
        <row r="54">
          <cell r="F54" t="str">
            <v>Microsoft Office 365 - Technology Product</v>
          </cell>
          <cell r="H54" t="str">
            <v>System SRM</v>
          </cell>
          <cell r="K54" t="str">
            <v>Chan, Hoang Hai [Tech/Network-Telecom &amp; Helpdesk]</v>
          </cell>
        </row>
        <row r="55">
          <cell r="F55" t="str">
            <v>Azure DevOps - Technology Product</v>
          </cell>
          <cell r="H55" t="str">
            <v>D-Home System Corporate Portal</v>
          </cell>
          <cell r="K55" t="str">
            <v>Hai, Tran Hoang [Tech/Network-Telecom &amp; Helpdesk]</v>
          </cell>
        </row>
        <row r="56">
          <cell r="F56" t="str">
            <v>Enterprise Data WareHouse - Technology Product</v>
          </cell>
          <cell r="H56" t="str">
            <v>ITInventory</v>
          </cell>
          <cell r="K56" t="str">
            <v>Khai, Dao Trong [Tech/Network-Telecom &amp; Helpdesk]</v>
          </cell>
        </row>
        <row r="57">
          <cell r="F57" t="str">
            <v>Zimbra mail System - Technology Product</v>
          </cell>
          <cell r="H57" t="str">
            <v>Leavetrack</v>
          </cell>
          <cell r="K57" t="str">
            <v>The, Dang Cong [Tech/Network-Telecom &amp; Helpdesk]</v>
          </cell>
        </row>
        <row r="58">
          <cell r="F58" t="str">
            <v>IIB Service Bus - Technology Product</v>
          </cell>
          <cell r="H58" t="str">
            <v>DMS</v>
          </cell>
          <cell r="K58" t="str">
            <v>Binh, Le Tuan [Tech/Network-Telecom &amp; Helpdesk]</v>
          </cell>
        </row>
        <row r="59">
          <cell r="F59" t="str">
            <v>ETL - Technology Product</v>
          </cell>
          <cell r="H59" t="str">
            <v>HCMS</v>
          </cell>
          <cell r="K59" t="str">
            <v>Minh, Le Cong [Tech/Network-Telecom &amp; Helpdesk]</v>
          </cell>
        </row>
        <row r="60">
          <cell r="F60" t="str">
            <v>ODS Database - Technology Product</v>
          </cell>
          <cell r="H60" t="str">
            <v>D-Medic</v>
          </cell>
          <cell r="K60" t="str">
            <v>Loc, Ta Hoang [Tech/Network-Telecom &amp; Helpdesk]</v>
          </cell>
        </row>
        <row r="61">
          <cell r="F61" t="str">
            <v>WAF F5 - Technology Product</v>
          </cell>
          <cell r="H61" t="str">
            <v>Customer Contact Management System (CCMS/ACMS)</v>
          </cell>
          <cell r="K61" t="str">
            <v>Phu, Nguyen Tam [Tech/Network-Telecom &amp; Helpdesk]</v>
          </cell>
        </row>
        <row r="62">
          <cell r="F62" t="str">
            <v>EXTERNAL DNS - Technology Product</v>
          </cell>
          <cell r="H62" t="str">
            <v>Call Center Management (CCM)</v>
          </cell>
          <cell r="K62" t="str">
            <v>Hoan, Duong Minh [Tech/Corporate Support Systems]</v>
          </cell>
        </row>
        <row r="63">
          <cell r="F63" t="str">
            <v>Active Directory - Technology Product</v>
          </cell>
          <cell r="H63" t="str">
            <v>Progiss</v>
          </cell>
          <cell r="K63" t="str">
            <v>Dang, Nguyen Hai [Tech/Corporate Support Systems]</v>
          </cell>
        </row>
        <row r="64">
          <cell r="F64" t="str">
            <v>D-Procurement - Monolith – Web (FE + BE)</v>
          </cell>
          <cell r="H64" t="str">
            <v>AD Portal system</v>
          </cell>
          <cell r="K64" t="str">
            <v>Huy, Ngo Anh [Tech/System Administration 2]</v>
          </cell>
        </row>
        <row r="65">
          <cell r="F65" t="str">
            <v>Epayment - Monolith – Web (FE + BE)</v>
          </cell>
          <cell r="H65" t="str">
            <v>CX Platform (Qualtrics)</v>
          </cell>
          <cell r="K65" t="str">
            <v>Trung, Tong My [Tech/System Administration 2]</v>
          </cell>
        </row>
        <row r="66">
          <cell r="F66" t="str">
            <v>ETax Invoice - Monolith – Web (FE + BE)</v>
          </cell>
          <cell r="H66" t="str">
            <v>DFVN Portal</v>
          </cell>
          <cell r="K66" t="str">
            <v>Tuong, Nguyen Phuc Kien [Tech/System Administration 2]</v>
          </cell>
        </row>
        <row r="67">
          <cell r="F67" t="str">
            <v>System UIR - Monolith – Web (FE + BE) - Data API Builder</v>
          </cell>
          <cell r="H67" t="str">
            <v>DLDreampad</v>
          </cell>
          <cell r="K67" t="str">
            <v>Phong, Nguyen Hoai [Tech/System Administration 2]</v>
          </cell>
        </row>
        <row r="68">
          <cell r="F68" t="str">
            <v>System SRM - Monolith – Web (FE + BE)</v>
          </cell>
          <cell r="H68" t="str">
            <v>DLVNSCAN</v>
          </cell>
          <cell r="K68" t="str">
            <v>Hien, Tran Vinh [Tech/System Administration 2]</v>
          </cell>
        </row>
        <row r="69">
          <cell r="F69" t="str">
            <v>D-Home System Corporate Portal - Monolith – Web (FE + BE)</v>
          </cell>
          <cell r="H69" t="str">
            <v>ePolicy System</v>
          </cell>
          <cell r="K69" t="str">
            <v>Thinh, Bui Ngoc [Tech/System Administration 2]</v>
          </cell>
        </row>
        <row r="70">
          <cell r="F70" t="str">
            <v>ITInventory - Monolith – Web (FE + BE)</v>
          </cell>
          <cell r="H70" t="str">
            <v>iHRP System</v>
          </cell>
          <cell r="K70" t="str">
            <v>Trung, Nguyen Thanh [Tech/System Administration 1]</v>
          </cell>
        </row>
        <row r="71">
          <cell r="F71" t="str">
            <v>Leavetrack - Monolith – Web (FE + BE)</v>
          </cell>
          <cell r="H71" t="str">
            <v>Portia System</v>
          </cell>
          <cell r="K71" t="str">
            <v>Cuong, Bao Thien [Tech/System Administration 1]</v>
          </cell>
        </row>
        <row r="72">
          <cell r="F72" t="str">
            <v>Prophet - Technology Product - Prophet</v>
          </cell>
          <cell r="H72" t="str">
            <v>Sendy System</v>
          </cell>
          <cell r="K72" t="str">
            <v>Khanh, Nguyen Phuong [Tech/System Administration 1]</v>
          </cell>
        </row>
        <row r="73">
          <cell r="F73" t="str">
            <v>HCMS - Monolith – Web (FE + BE)</v>
          </cell>
          <cell r="H73" t="str">
            <v>SUN system</v>
          </cell>
          <cell r="K73" t="str">
            <v>Chung, Nguyen Tu [Tech/System Administration 1]</v>
          </cell>
        </row>
        <row r="74">
          <cell r="F74" t="str">
            <v>D-Medic - Frontend – Mobile iOS</v>
          </cell>
          <cell r="H74" t="str">
            <v>VPN</v>
          </cell>
          <cell r="K74" t="str">
            <v>Lanh, Luu Van [Tech/Policy Admin System]</v>
          </cell>
        </row>
        <row r="75">
          <cell r="F75" t="str">
            <v>Hospital Portal system - Backend – Microservice</v>
          </cell>
          <cell r="H75" t="str">
            <v>ZScaler</v>
          </cell>
          <cell r="K75" t="str">
            <v>Phuong, Le Giang Nhat [Tech/Policy Admin System]</v>
          </cell>
        </row>
        <row r="76">
          <cell r="F76" t="str">
            <v>SIEM - Technology Product</v>
          </cell>
          <cell r="H76" t="str">
            <v>Customer Data Platform</v>
          </cell>
          <cell r="K76" t="str">
            <v>Giang, Nguyen Thanh Truong [Tech/Policy Admin System]</v>
          </cell>
        </row>
        <row r="77">
          <cell r="F77" t="str">
            <v>File Server - Technology Product</v>
          </cell>
          <cell r="H77" t="str">
            <v>New eLearning + TMS</v>
          </cell>
          <cell r="K77" t="str">
            <v>Tho, Hoang Xuan [Tech/Policy Admin System]</v>
          </cell>
        </row>
        <row r="78">
          <cell r="F78" t="str">
            <v>AD Portal system - Monolith – Backend - Springboot</v>
          </cell>
          <cell r="H78" t="str">
            <v>Lead Management</v>
          </cell>
          <cell r="K78" t="str">
            <v>Tuyet, Huynh Thi [Tech/Policy Admin System]</v>
          </cell>
        </row>
        <row r="79">
          <cell r="F79" t="str">
            <v>AD Portal system - Frontend - Web</v>
          </cell>
          <cell r="H79" t="str">
            <v>Prophet</v>
          </cell>
          <cell r="K79" t="str">
            <v>Tien, Nguyen Huy [Tech/Policy Admin System]</v>
          </cell>
        </row>
        <row r="80">
          <cell r="F80" t="str">
            <v>CX Platform (Qualtrics) - Technology Product</v>
          </cell>
          <cell r="H80" t="str">
            <v>OpenShift</v>
          </cell>
          <cell r="K80" t="str">
            <v>Toan, Ha Thai [Tech/Customer Digital Systems Intern]</v>
          </cell>
        </row>
        <row r="81">
          <cell r="F81" t="str">
            <v>DFVN Portal - Monolith – Web (FE + BE)</v>
          </cell>
          <cell r="H81" t="str">
            <v>Online Payment</v>
          </cell>
          <cell r="K81" t="str">
            <v>Phuc, Cao Hong [Tech/Customer Digital Systems/Outsource]</v>
          </cell>
        </row>
        <row r="82">
          <cell r="F82" t="str">
            <v>DLDreampad - Frontend – Mobile iOS</v>
          </cell>
          <cell r="H82" t="str">
            <v>Email Service</v>
          </cell>
          <cell r="K82" t="str">
            <v>Lieu, Tran Thi Thuy [Tech/Customer Digital Systems]</v>
          </cell>
        </row>
        <row r="83">
          <cell r="F83" t="str">
            <v>DLVNSCAN - Monolith – Web (FE + BE)</v>
          </cell>
          <cell r="H83" t="str">
            <v>PMS</v>
          </cell>
          <cell r="K83" t="str">
            <v>Nam, Nguyen Tien [Tech/Corporate Support Systems/Outsource]</v>
          </cell>
        </row>
        <row r="84">
          <cell r="F84" t="str">
            <v>ePolicy System - Monolith – Web (FE + BE)</v>
          </cell>
          <cell r="H84" t="str">
            <v>eKYC</v>
          </cell>
          <cell r="K84" t="str">
            <v>Tai, Nguyen Anh [Tech/Data Management Platform]</v>
          </cell>
        </row>
        <row r="85">
          <cell r="F85" t="str">
            <v>iHRP System - Monolith – Web (FE + BE)</v>
          </cell>
          <cell r="H85" t="str">
            <v>iTRUST DFVN</v>
          </cell>
          <cell r="K85" t="str">
            <v>Nam, Vo Thanh [Tech/Distribution Digital Systems]</v>
          </cell>
        </row>
        <row r="86">
          <cell r="F86" t="str">
            <v>Portia System - Monolith – Web (FE + BE)</v>
          </cell>
          <cell r="K86" t="str">
            <v>Tri, Tran Cao [Tech/Distribution Digital Systems]</v>
          </cell>
        </row>
        <row r="87">
          <cell r="F87" t="str">
            <v>Sendy System - Technology Product</v>
          </cell>
          <cell r="K87" t="str">
            <v>Chien, Pham Van Minh [Distribution Administration Sys/Outsource]</v>
          </cell>
        </row>
        <row r="88">
          <cell r="F88" t="str">
            <v>SUN system - Technology Product</v>
          </cell>
          <cell r="K88" t="str">
            <v>Huyen, Nguyen Thi Thu [Tech/Customer Digital Systems]</v>
          </cell>
        </row>
        <row r="89">
          <cell r="F89" t="str">
            <v>VPN - Technology Product</v>
          </cell>
          <cell r="K89" t="str">
            <v>Truong, Pham Quang [Tech/Customer Digital Systems]</v>
          </cell>
        </row>
        <row r="90">
          <cell r="F90" t="str">
            <v>ZScaler - Technology Product</v>
          </cell>
          <cell r="K90" t="str">
            <v>Hanh, Vo Thi My [Tech/Customer Digital Systems]</v>
          </cell>
        </row>
        <row r="91">
          <cell r="F91" t="str">
            <v>Customer Data Platform - Technology Product</v>
          </cell>
          <cell r="K91" t="str">
            <v>Ngan, Le Ngoc Kim [Tech/Data Management Platform]</v>
          </cell>
        </row>
        <row r="92">
          <cell r="F92" t="str">
            <v>New eLearning + TMS - Monolith – Web (FE + BE)</v>
          </cell>
          <cell r="K92" t="str">
            <v>Tuan, Nguyen Huu Anh [Tech/System Architecture]</v>
          </cell>
        </row>
        <row r="93">
          <cell r="F93" t="str">
            <v>Dai-ichi ON Covergo Platform (SOP) - Monolith – Backend</v>
          </cell>
          <cell r="K93" t="str">
            <v>Tai, Nguyen Nhat [Tech/Customer Digital Systems]</v>
          </cell>
        </row>
        <row r="94">
          <cell r="F94" t="str">
            <v>SMS/ZNS - Monolith – Backend - SMS</v>
          </cell>
          <cell r="K94" t="str">
            <v>Luan, Ta Anh [Tech/DMSSC]</v>
          </cell>
        </row>
        <row r="95">
          <cell r="F95" t="str">
            <v>D-Medic - Frontend - Web</v>
          </cell>
          <cell r="K95" t="str">
            <v>Nga, Le Thi Hoang [Tech/DMSSC]</v>
          </cell>
        </row>
        <row r="96">
          <cell r="F96" t="str">
            <v>D-Medic - Monolith – Backend</v>
          </cell>
          <cell r="K96" t="str">
            <v>Anh, Nguyen Tuan [Tech/DMSSC]</v>
          </cell>
        </row>
        <row r="97">
          <cell r="F97" t="str">
            <v>Ingenium - Frontend - Web - Pathfinder</v>
          </cell>
          <cell r="K97" t="str">
            <v>An, Nguyen Pham Quoc [Tech/Customer Service Systems Intern]</v>
          </cell>
        </row>
        <row r="98">
          <cell r="F98" t="str">
            <v>Ingenium - Monolith – Backend - ProductXpress</v>
          </cell>
          <cell r="K98" t="str">
            <v>Phuc, Dinh Pham Hoang [Tech/DMSSC]</v>
          </cell>
        </row>
        <row r="99">
          <cell r="F99" t="str">
            <v>AD Portal system - Frontend – Mobile iOS</v>
          </cell>
          <cell r="K99" t="str">
            <v>Tung, Huynh Ngoc Thanh [Tech/DMSSC]</v>
          </cell>
        </row>
        <row r="100">
          <cell r="F100" t="str">
            <v>AD Portal system - Frontend – Mobile Android</v>
          </cell>
          <cell r="K100" t="str">
            <v>Due, Pham Quang [Tech/DMSSC]</v>
          </cell>
        </row>
        <row r="101">
          <cell r="F101" t="str">
            <v>Customer Service Portal (CSP) - Monolith – Web (FE + BE)</v>
          </cell>
          <cell r="K101" t="str">
            <v>Nhan, Huynh Thi Hoai [Tech/Customer Service Systems]</v>
          </cell>
        </row>
        <row r="102">
          <cell r="F102" t="str">
            <v>DMS - Monolith – Web (FE + BE)</v>
          </cell>
          <cell r="K102" t="str">
            <v>Dung, Nguyen Quoc [Tech/Customer Service Systems]</v>
          </cell>
        </row>
        <row r="103">
          <cell r="F103" t="str">
            <v>Premium Collection Services - Monolith – Backend</v>
          </cell>
          <cell r="K103" t="str">
            <v>Nhat, Pham Duy [Tech/Customer Service Systems]</v>
          </cell>
        </row>
        <row r="104">
          <cell r="F104" t="str">
            <v>Call Center Management (CCM) - Monolith – Web (FE + BE)</v>
          </cell>
          <cell r="K104" t="str">
            <v>Phuong, Nguyen Van [Tech/Distribution Administration System]</v>
          </cell>
        </row>
        <row r="105">
          <cell r="F105" t="str">
            <v>D-Medic - Frontend – Mobile Android</v>
          </cell>
          <cell r="K105" t="str">
            <v>Quy, Nguyen Ngoc [Tech/Customer Service Systems]</v>
          </cell>
        </row>
        <row r="106">
          <cell r="F106" t="str">
            <v>Customer Contact Management System (CCMS/ACMS) - Monolith – Web (FE + BE)</v>
          </cell>
          <cell r="K106" t="str">
            <v>Linh, Tran Thanh [Tech/Customer Service Systems]</v>
          </cell>
        </row>
        <row r="107">
          <cell r="F107" t="str">
            <v>Progiss - Monolith – Web (FE + BE)</v>
          </cell>
          <cell r="K107" t="str">
            <v>Hoa, Nguyen Thi Ngoc [Tech/Customer Service Systems]</v>
          </cell>
        </row>
        <row r="108">
          <cell r="F108" t="str">
            <v>Online Payment - Monolith – Web (FE + BE)</v>
          </cell>
          <cell r="K108" t="str">
            <v>Truc, Nguyen Thanh [Tech/System Architecture]</v>
          </cell>
        </row>
        <row r="109">
          <cell r="F109" t="str">
            <v>Email Service - Monolith – Backend</v>
          </cell>
          <cell r="K109" t="str">
            <v>Khanh, Truong Nguyen [Tech/System Architecture]</v>
          </cell>
        </row>
        <row r="110">
          <cell r="F110" t="str">
            <v>Online Payment - Monolith – Backend</v>
          </cell>
          <cell r="K110" t="str">
            <v>Khiem, Do Thanh [Tech/System Architecture]</v>
          </cell>
        </row>
        <row r="111">
          <cell r="F111" t="str">
            <v>eApplication (D-Success, ADP) - Monolith – Backend</v>
          </cell>
        </row>
        <row r="112">
          <cell r="F112" t="str">
            <v>eApplication (D-Success, ADP) - Frontend - Web</v>
          </cell>
        </row>
        <row r="113">
          <cell r="F113" t="str">
            <v>e-CV (D-Success) - Monolith – Backend</v>
          </cell>
        </row>
        <row r="114">
          <cell r="F114" t="str">
            <v>e-CV (D-Success) - Frontend - Web</v>
          </cell>
        </row>
        <row r="115">
          <cell r="F115" t="str">
            <v>Recording(D-Success, ADP) - Monolith – Backend</v>
          </cell>
        </row>
        <row r="116">
          <cell r="F116" t="str">
            <v>DLDreampad - Frontend – Mobile iOS</v>
          </cell>
        </row>
        <row r="117">
          <cell r="F117" t="str">
            <v>DLDreampad - Frontend – Mobile Android</v>
          </cell>
        </row>
        <row r="118">
          <cell r="F118" t="str">
            <v/>
          </cell>
        </row>
        <row r="119">
          <cell r="F119" t="str">
            <v>eKYC - Backend – Microservice</v>
          </cell>
        </row>
        <row r="120">
          <cell r="F120" t="str">
            <v>eKYC - Frontend - Web</v>
          </cell>
        </row>
        <row r="121">
          <cell r="F121" t="str">
            <v>eKYC - Shared – SDK - iOS</v>
          </cell>
        </row>
        <row r="122">
          <cell r="F122" t="str">
            <v>eKYC - Shared – SDK - Android</v>
          </cell>
        </row>
        <row r="123">
          <cell r="F123" t="str">
            <v>New eLearning + TMS - Monolith – Web (FE + BE)</v>
          </cell>
        </row>
        <row r="124">
          <cell r="F124" t="str">
            <v>iTRUST DFVN - Frontend – Mobile Android</v>
          </cell>
        </row>
        <row r="125">
          <cell r="F125" t="str">
            <v>iTRUST DFVN - Frontend – Mobile iOS</v>
          </cell>
        </row>
        <row r="126">
          <cell r="F126" t="str">
            <v>PMS - Technology Product</v>
          </cell>
        </row>
        <row r="127">
          <cell r="F127" t="str">
            <v/>
          </cell>
        </row>
        <row r="128">
          <cell r="F128" t="str">
            <v/>
          </cell>
        </row>
        <row r="129">
          <cell r="F129" t="str">
            <v/>
          </cell>
        </row>
        <row r="130">
          <cell r="F130" t="str">
            <v/>
          </cell>
        </row>
        <row r="131">
          <cell r="F131" t="str">
            <v/>
          </cell>
        </row>
        <row r="132">
          <cell r="F132" t="str">
            <v/>
          </cell>
        </row>
        <row r="133">
          <cell r="F133" t="str">
            <v/>
          </cell>
        </row>
        <row r="134">
          <cell r="F134" t="str">
            <v/>
          </cell>
        </row>
        <row r="135">
          <cell r="F135" t="str">
            <v/>
          </cell>
        </row>
        <row r="136">
          <cell r="F136" t="str">
            <v/>
          </cell>
        </row>
        <row r="137">
          <cell r="F137" t="str">
            <v/>
          </cell>
        </row>
        <row r="138">
          <cell r="F138" t="str">
            <v/>
          </cell>
        </row>
        <row r="139">
          <cell r="F139" t="str">
            <v/>
          </cell>
        </row>
        <row r="140">
          <cell r="F140" t="str">
            <v/>
          </cell>
        </row>
        <row r="141">
          <cell r="F141" t="str">
            <v/>
          </cell>
        </row>
        <row r="142">
          <cell r="F142" t="str">
            <v/>
          </cell>
        </row>
        <row r="143">
          <cell r="F143" t="str">
            <v/>
          </cell>
        </row>
        <row r="144">
          <cell r="F144" t="str">
            <v/>
          </cell>
        </row>
        <row r="145">
          <cell r="F145" t="str">
            <v/>
          </cell>
        </row>
        <row r="146">
          <cell r="F146" t="str">
            <v/>
          </cell>
        </row>
        <row r="147">
          <cell r="F147" t="str">
            <v/>
          </cell>
        </row>
        <row r="148">
          <cell r="F148" t="str">
            <v/>
          </cell>
        </row>
        <row r="149">
          <cell r="F149" t="str">
            <v/>
          </cell>
        </row>
        <row r="150">
          <cell r="F150" t="str">
            <v/>
          </cell>
        </row>
        <row r="151">
          <cell r="F151" t="str">
            <v/>
          </cell>
        </row>
        <row r="152">
          <cell r="F152" t="str">
            <v/>
          </cell>
        </row>
        <row r="153">
          <cell r="F153" t="str">
            <v/>
          </cell>
        </row>
        <row r="154">
          <cell r="F154" t="str">
            <v/>
          </cell>
        </row>
        <row r="155">
          <cell r="F155" t="str">
            <v/>
          </cell>
        </row>
        <row r="156">
          <cell r="F156" t="str">
            <v/>
          </cell>
        </row>
        <row r="157">
          <cell r="F157" t="str">
            <v/>
          </cell>
        </row>
        <row r="158">
          <cell r="F158" t="str">
            <v/>
          </cell>
        </row>
        <row r="159">
          <cell r="F159" t="str">
            <v/>
          </cell>
        </row>
        <row r="160">
          <cell r="F160" t="str">
            <v/>
          </cell>
        </row>
        <row r="161">
          <cell r="F161" t="str">
            <v/>
          </cell>
        </row>
        <row r="162">
          <cell r="F162" t="str">
            <v/>
          </cell>
        </row>
        <row r="163">
          <cell r="F163" t="str">
            <v/>
          </cell>
        </row>
        <row r="164">
          <cell r="F164" t="str">
            <v/>
          </cell>
        </row>
        <row r="165">
          <cell r="F165" t="str">
            <v/>
          </cell>
        </row>
        <row r="166">
          <cell r="F166" t="str">
            <v/>
          </cell>
        </row>
        <row r="167">
          <cell r="F167" t="str">
            <v/>
          </cell>
        </row>
        <row r="168">
          <cell r="F168" t="str">
            <v/>
          </cell>
        </row>
        <row r="169">
          <cell r="F169" t="str">
            <v/>
          </cell>
        </row>
        <row r="170">
          <cell r="F170" t="str">
            <v/>
          </cell>
        </row>
        <row r="171">
          <cell r="F171" t="str">
            <v/>
          </cell>
        </row>
        <row r="172">
          <cell r="F172" t="str">
            <v/>
          </cell>
        </row>
        <row r="173">
          <cell r="F173" t="str">
            <v/>
          </cell>
        </row>
        <row r="174">
          <cell r="F174" t="str">
            <v/>
          </cell>
        </row>
        <row r="175">
          <cell r="F175" t="str">
            <v/>
          </cell>
        </row>
        <row r="176">
          <cell r="F176" t="str">
            <v/>
          </cell>
        </row>
        <row r="177">
          <cell r="F177" t="str">
            <v/>
          </cell>
        </row>
        <row r="178">
          <cell r="F178" t="str">
            <v/>
          </cell>
        </row>
        <row r="179">
          <cell r="F179" t="str">
            <v/>
          </cell>
        </row>
        <row r="180">
          <cell r="F180" t="str">
            <v/>
          </cell>
        </row>
        <row r="181">
          <cell r="F181" t="str">
            <v/>
          </cell>
        </row>
        <row r="182">
          <cell r="F182" t="str">
            <v/>
          </cell>
        </row>
        <row r="183">
          <cell r="F183" t="str">
            <v/>
          </cell>
        </row>
        <row r="184">
          <cell r="F184" t="str">
            <v/>
          </cell>
        </row>
        <row r="185">
          <cell r="F185" t="str">
            <v/>
          </cell>
        </row>
        <row r="186">
          <cell r="F186" t="str">
            <v/>
          </cell>
        </row>
        <row r="187">
          <cell r="F187" t="str">
            <v/>
          </cell>
        </row>
        <row r="188">
          <cell r="F188" t="str">
            <v/>
          </cell>
        </row>
        <row r="189">
          <cell r="F189" t="str">
            <v/>
          </cell>
        </row>
        <row r="190">
          <cell r="F190" t="str">
            <v/>
          </cell>
        </row>
        <row r="191">
          <cell r="F191" t="str">
            <v/>
          </cell>
        </row>
        <row r="192">
          <cell r="F192" t="str">
            <v/>
          </cell>
        </row>
        <row r="193">
          <cell r="F193" t="str">
            <v/>
          </cell>
        </row>
        <row r="194">
          <cell r="F194" t="str">
            <v/>
          </cell>
        </row>
        <row r="195">
          <cell r="F195" t="str">
            <v/>
          </cell>
        </row>
        <row r="196">
          <cell r="F196" t="str">
            <v/>
          </cell>
        </row>
        <row r="197">
          <cell r="F197" t="str">
            <v/>
          </cell>
        </row>
        <row r="198">
          <cell r="F198" t="str">
            <v/>
          </cell>
        </row>
        <row r="199">
          <cell r="F199" t="str">
            <v/>
          </cell>
        </row>
        <row r="200">
          <cell r="F200" t="str">
            <v/>
          </cell>
        </row>
        <row r="201">
          <cell r="F201" t="str">
            <v/>
          </cell>
        </row>
        <row r="202">
          <cell r="F202" t="str">
            <v/>
          </cell>
        </row>
        <row r="203">
          <cell r="F203" t="str">
            <v/>
          </cell>
        </row>
        <row r="204">
          <cell r="F204" t="str">
            <v/>
          </cell>
        </row>
        <row r="205">
          <cell r="F205" t="str">
            <v/>
          </cell>
        </row>
        <row r="206">
          <cell r="F206" t="str">
            <v/>
          </cell>
        </row>
        <row r="207">
          <cell r="F207" t="str">
            <v/>
          </cell>
        </row>
        <row r="208">
          <cell r="F208" t="str">
            <v/>
          </cell>
        </row>
        <row r="209">
          <cell r="F209" t="str">
            <v/>
          </cell>
        </row>
        <row r="210">
          <cell r="F210" t="str">
            <v/>
          </cell>
        </row>
        <row r="211">
          <cell r="F211" t="str">
            <v/>
          </cell>
        </row>
        <row r="212">
          <cell r="F212" t="str">
            <v/>
          </cell>
        </row>
        <row r="213">
          <cell r="F213" t="str">
            <v/>
          </cell>
        </row>
        <row r="214">
          <cell r="F214" t="str">
            <v/>
          </cell>
        </row>
        <row r="215">
          <cell r="F215" t="str">
            <v/>
          </cell>
        </row>
        <row r="216">
          <cell r="F216" t="str">
            <v/>
          </cell>
        </row>
        <row r="217">
          <cell r="F217" t="str">
            <v/>
          </cell>
        </row>
        <row r="218">
          <cell r="F218" t="str">
            <v/>
          </cell>
        </row>
        <row r="219">
          <cell r="F219" t="str">
            <v/>
          </cell>
        </row>
        <row r="220">
          <cell r="F220" t="str">
            <v/>
          </cell>
        </row>
        <row r="221">
          <cell r="F221" t="str">
            <v/>
          </cell>
        </row>
        <row r="222">
          <cell r="F222" t="str">
            <v/>
          </cell>
        </row>
        <row r="223">
          <cell r="F223" t="str">
            <v/>
          </cell>
        </row>
        <row r="224">
          <cell r="F224" t="str">
            <v/>
          </cell>
        </row>
        <row r="225">
          <cell r="F225" t="str">
            <v/>
          </cell>
        </row>
        <row r="226">
          <cell r="F226" t="str">
            <v/>
          </cell>
        </row>
        <row r="227">
          <cell r="F227" t="str">
            <v/>
          </cell>
        </row>
        <row r="228">
          <cell r="F228" t="str">
            <v/>
          </cell>
        </row>
        <row r="229">
          <cell r="F229" t="str">
            <v/>
          </cell>
        </row>
        <row r="230">
          <cell r="F230" t="str">
            <v/>
          </cell>
        </row>
        <row r="231">
          <cell r="F231" t="str">
            <v/>
          </cell>
        </row>
        <row r="232">
          <cell r="F232" t="str">
            <v/>
          </cell>
        </row>
        <row r="233">
          <cell r="F233" t="str">
            <v/>
          </cell>
        </row>
        <row r="234">
          <cell r="F234" t="str">
            <v/>
          </cell>
        </row>
        <row r="235">
          <cell r="F235" t="str">
            <v/>
          </cell>
        </row>
        <row r="236">
          <cell r="F236" t="str">
            <v/>
          </cell>
        </row>
        <row r="237">
          <cell r="F237" t="str">
            <v/>
          </cell>
        </row>
        <row r="238">
          <cell r="F238" t="str">
            <v/>
          </cell>
        </row>
        <row r="239">
          <cell r="F239" t="str">
            <v/>
          </cell>
        </row>
        <row r="240">
          <cell r="F240" t="str">
            <v/>
          </cell>
        </row>
        <row r="241">
          <cell r="F241" t="str">
            <v/>
          </cell>
        </row>
        <row r="242">
          <cell r="F242" t="str">
            <v/>
          </cell>
        </row>
        <row r="243">
          <cell r="F243" t="str">
            <v/>
          </cell>
        </row>
        <row r="244">
          <cell r="F244" t="str">
            <v/>
          </cell>
        </row>
        <row r="245">
          <cell r="F245" t="str">
            <v/>
          </cell>
        </row>
        <row r="246">
          <cell r="F246" t="str">
            <v/>
          </cell>
        </row>
        <row r="247">
          <cell r="F247" t="str">
            <v/>
          </cell>
        </row>
        <row r="248">
          <cell r="F248" t="str">
            <v/>
          </cell>
        </row>
        <row r="249">
          <cell r="F249" t="str">
            <v/>
          </cell>
        </row>
        <row r="250">
          <cell r="F250" t="str">
            <v/>
          </cell>
        </row>
        <row r="251">
          <cell r="F251" t="str">
            <v/>
          </cell>
        </row>
        <row r="252">
          <cell r="F252" t="str">
            <v/>
          </cell>
        </row>
        <row r="253">
          <cell r="F253" t="str">
            <v/>
          </cell>
        </row>
        <row r="254">
          <cell r="F254" t="str">
            <v/>
          </cell>
        </row>
        <row r="255">
          <cell r="F255" t="str">
            <v/>
          </cell>
        </row>
        <row r="256">
          <cell r="F256" t="str">
            <v/>
          </cell>
        </row>
        <row r="257">
          <cell r="F257" t="str">
            <v/>
          </cell>
        </row>
        <row r="258">
          <cell r="F258" t="str">
            <v/>
          </cell>
        </row>
        <row r="259">
          <cell r="F259" t="str">
            <v/>
          </cell>
        </row>
        <row r="260">
          <cell r="F260" t="str">
            <v/>
          </cell>
        </row>
        <row r="261">
          <cell r="F261" t="str">
            <v/>
          </cell>
        </row>
        <row r="262">
          <cell r="F262" t="str">
            <v/>
          </cell>
        </row>
        <row r="263">
          <cell r="F263" t="str">
            <v/>
          </cell>
        </row>
        <row r="264">
          <cell r="F264" t="str">
            <v/>
          </cell>
        </row>
        <row r="265">
          <cell r="F265" t="str">
            <v/>
          </cell>
        </row>
        <row r="266">
          <cell r="F266" t="str">
            <v/>
          </cell>
        </row>
        <row r="267">
          <cell r="F267" t="str">
            <v/>
          </cell>
        </row>
        <row r="268">
          <cell r="F268" t="str">
            <v/>
          </cell>
        </row>
        <row r="269">
          <cell r="F269" t="str">
            <v/>
          </cell>
        </row>
        <row r="270">
          <cell r="F270" t="str">
            <v/>
          </cell>
        </row>
        <row r="271">
          <cell r="F271" t="str">
            <v/>
          </cell>
        </row>
        <row r="272">
          <cell r="F272" t="str">
            <v/>
          </cell>
        </row>
        <row r="273">
          <cell r="F273" t="str">
            <v/>
          </cell>
        </row>
        <row r="274">
          <cell r="F274" t="str">
            <v/>
          </cell>
        </row>
        <row r="275">
          <cell r="F275" t="str">
            <v/>
          </cell>
        </row>
        <row r="276">
          <cell r="F276" t="str">
            <v/>
          </cell>
        </row>
        <row r="277">
          <cell r="F277" t="str">
            <v/>
          </cell>
        </row>
        <row r="278">
          <cell r="F278" t="str">
            <v/>
          </cell>
        </row>
        <row r="279">
          <cell r="F279" t="str">
            <v/>
          </cell>
        </row>
        <row r="280">
          <cell r="F280" t="str">
            <v/>
          </cell>
        </row>
        <row r="281">
          <cell r="F281" t="str">
            <v/>
          </cell>
        </row>
        <row r="282">
          <cell r="F282" t="str">
            <v/>
          </cell>
        </row>
        <row r="283">
          <cell r="F283" t="str">
            <v/>
          </cell>
        </row>
        <row r="284">
          <cell r="F284" t="str">
            <v/>
          </cell>
        </row>
        <row r="285">
          <cell r="F285" t="str">
            <v/>
          </cell>
        </row>
        <row r="286">
          <cell r="F286" t="str">
            <v/>
          </cell>
        </row>
        <row r="287">
          <cell r="F287" t="str">
            <v/>
          </cell>
        </row>
        <row r="288">
          <cell r="F288" t="str">
            <v/>
          </cell>
        </row>
        <row r="289">
          <cell r="F289" t="str">
            <v/>
          </cell>
        </row>
        <row r="290">
          <cell r="F290" t="str">
            <v/>
          </cell>
        </row>
        <row r="291">
          <cell r="F291" t="str">
            <v/>
          </cell>
        </row>
        <row r="292">
          <cell r="F292" t="str">
            <v/>
          </cell>
        </row>
        <row r="293">
          <cell r="F293" t="str">
            <v/>
          </cell>
        </row>
        <row r="294">
          <cell r="F294" t="str">
            <v/>
          </cell>
        </row>
        <row r="295">
          <cell r="F295" t="str">
            <v/>
          </cell>
        </row>
        <row r="296">
          <cell r="F296" t="str">
            <v/>
          </cell>
        </row>
        <row r="297">
          <cell r="F297" t="str">
            <v/>
          </cell>
        </row>
        <row r="298">
          <cell r="F298" t="str">
            <v/>
          </cell>
        </row>
        <row r="299">
          <cell r="F299" t="str">
            <v/>
          </cell>
        </row>
        <row r="300">
          <cell r="F300" t="str">
            <v/>
          </cell>
        </row>
        <row r="301">
          <cell r="F301" t="str">
            <v/>
          </cell>
        </row>
        <row r="302">
          <cell r="F302" t="str">
            <v/>
          </cell>
        </row>
        <row r="303">
          <cell r="F303" t="str">
            <v/>
          </cell>
        </row>
        <row r="304">
          <cell r="F304" t="str">
            <v/>
          </cell>
        </row>
        <row r="305">
          <cell r="F305" t="str">
            <v/>
          </cell>
        </row>
        <row r="306">
          <cell r="F306" t="str">
            <v/>
          </cell>
        </row>
        <row r="307">
          <cell r="F307" t="str">
            <v/>
          </cell>
        </row>
        <row r="308">
          <cell r="F308" t="str">
            <v/>
          </cell>
        </row>
        <row r="309">
          <cell r="F309" t="str">
            <v/>
          </cell>
        </row>
        <row r="310">
          <cell r="F310" t="str">
            <v/>
          </cell>
        </row>
        <row r="311">
          <cell r="F311" t="str">
            <v/>
          </cell>
        </row>
        <row r="312">
          <cell r="F312" t="str">
            <v/>
          </cell>
        </row>
        <row r="313">
          <cell r="F313" t="str">
            <v/>
          </cell>
        </row>
        <row r="314">
          <cell r="F314" t="str">
            <v/>
          </cell>
        </row>
        <row r="315">
          <cell r="F315" t="str">
            <v/>
          </cell>
        </row>
        <row r="316">
          <cell r="F316" t="str">
            <v/>
          </cell>
        </row>
        <row r="317">
          <cell r="F317" t="str">
            <v/>
          </cell>
        </row>
        <row r="318">
          <cell r="F318" t="str">
            <v/>
          </cell>
        </row>
        <row r="319">
          <cell r="F319" t="str">
            <v/>
          </cell>
        </row>
        <row r="320">
          <cell r="F320" t="str">
            <v/>
          </cell>
        </row>
        <row r="321">
          <cell r="F321" t="str">
            <v/>
          </cell>
        </row>
        <row r="322">
          <cell r="F322" t="str">
            <v/>
          </cell>
        </row>
        <row r="323">
          <cell r="F323" t="str">
            <v/>
          </cell>
        </row>
        <row r="324">
          <cell r="F324" t="str">
            <v/>
          </cell>
        </row>
        <row r="325">
          <cell r="F325" t="str">
            <v/>
          </cell>
        </row>
        <row r="326">
          <cell r="F326" t="str">
            <v/>
          </cell>
        </row>
        <row r="327">
          <cell r="F327" t="str">
            <v/>
          </cell>
        </row>
        <row r="328">
          <cell r="F328" t="str">
            <v/>
          </cell>
        </row>
        <row r="329">
          <cell r="F329" t="str">
            <v/>
          </cell>
        </row>
        <row r="330">
          <cell r="F330" t="str">
            <v/>
          </cell>
        </row>
        <row r="331">
          <cell r="F331" t="str">
            <v/>
          </cell>
        </row>
        <row r="332">
          <cell r="F332" t="str">
            <v/>
          </cell>
        </row>
        <row r="333">
          <cell r="F333" t="str">
            <v/>
          </cell>
        </row>
        <row r="334">
          <cell r="F334" t="str">
            <v/>
          </cell>
        </row>
        <row r="335">
          <cell r="F335" t="str">
            <v/>
          </cell>
        </row>
        <row r="336">
          <cell r="F336" t="str">
            <v/>
          </cell>
        </row>
        <row r="337">
          <cell r="F337" t="str">
            <v/>
          </cell>
        </row>
        <row r="338">
          <cell r="F338" t="str">
            <v/>
          </cell>
        </row>
        <row r="339">
          <cell r="F339" t="str">
            <v/>
          </cell>
        </row>
        <row r="340">
          <cell r="F340" t="str">
            <v/>
          </cell>
        </row>
        <row r="341">
          <cell r="F341" t="str">
            <v/>
          </cell>
        </row>
        <row r="342">
          <cell r="F342" t="str">
            <v/>
          </cell>
        </row>
        <row r="343">
          <cell r="F343" t="str">
            <v/>
          </cell>
        </row>
        <row r="344">
          <cell r="F344" t="str">
            <v/>
          </cell>
        </row>
        <row r="345">
          <cell r="F345" t="str">
            <v/>
          </cell>
        </row>
        <row r="346">
          <cell r="F346" t="str">
            <v/>
          </cell>
        </row>
        <row r="347">
          <cell r="F347" t="str">
            <v/>
          </cell>
        </row>
        <row r="348">
          <cell r="F348" t="str">
            <v/>
          </cell>
        </row>
        <row r="349">
          <cell r="F349" t="str">
            <v/>
          </cell>
        </row>
        <row r="350">
          <cell r="F350" t="str">
            <v/>
          </cell>
        </row>
        <row r="351">
          <cell r="F351" t="str">
            <v/>
          </cell>
        </row>
        <row r="352">
          <cell r="F352" t="str">
            <v/>
          </cell>
        </row>
        <row r="353">
          <cell r="F353" t="str">
            <v/>
          </cell>
        </row>
        <row r="354">
          <cell r="F354" t="str">
            <v/>
          </cell>
        </row>
        <row r="355">
          <cell r="F355" t="str">
            <v/>
          </cell>
        </row>
        <row r="356">
          <cell r="F356" t="str">
            <v/>
          </cell>
        </row>
        <row r="357">
          <cell r="F357" t="str">
            <v/>
          </cell>
        </row>
        <row r="358">
          <cell r="F358" t="str">
            <v/>
          </cell>
        </row>
        <row r="359">
          <cell r="F359" t="str">
            <v/>
          </cell>
        </row>
        <row r="360">
          <cell r="F360" t="str">
            <v/>
          </cell>
        </row>
        <row r="361">
          <cell r="F361" t="str">
            <v/>
          </cell>
        </row>
        <row r="362">
          <cell r="F362" t="str">
            <v/>
          </cell>
        </row>
        <row r="363">
          <cell r="F363" t="str">
            <v/>
          </cell>
        </row>
        <row r="364">
          <cell r="F364" t="str">
            <v/>
          </cell>
        </row>
        <row r="365">
          <cell r="F365" t="str">
            <v/>
          </cell>
        </row>
        <row r="366">
          <cell r="F366" t="str">
            <v/>
          </cell>
        </row>
        <row r="367">
          <cell r="F367" t="str">
            <v/>
          </cell>
        </row>
        <row r="368">
          <cell r="F368" t="str">
            <v/>
          </cell>
        </row>
        <row r="369">
          <cell r="F369" t="str">
            <v/>
          </cell>
        </row>
        <row r="370">
          <cell r="F370" t="str">
            <v/>
          </cell>
        </row>
        <row r="371">
          <cell r="F371" t="str">
            <v/>
          </cell>
        </row>
        <row r="372">
          <cell r="F372" t="str">
            <v/>
          </cell>
        </row>
        <row r="373">
          <cell r="F373" t="str">
            <v/>
          </cell>
        </row>
        <row r="374">
          <cell r="F374" t="str">
            <v/>
          </cell>
        </row>
        <row r="375">
          <cell r="F375" t="str">
            <v/>
          </cell>
        </row>
        <row r="376">
          <cell r="F376" t="str">
            <v/>
          </cell>
        </row>
        <row r="377">
          <cell r="F377" t="str">
            <v/>
          </cell>
        </row>
        <row r="378">
          <cell r="F378" t="str">
            <v/>
          </cell>
        </row>
        <row r="379">
          <cell r="F379" t="str">
            <v/>
          </cell>
        </row>
        <row r="380">
          <cell r="F380" t="str">
            <v/>
          </cell>
        </row>
        <row r="381">
          <cell r="F381" t="str">
            <v/>
          </cell>
        </row>
        <row r="382">
          <cell r="F382" t="str">
            <v/>
          </cell>
        </row>
        <row r="383">
          <cell r="F383" t="str">
            <v/>
          </cell>
        </row>
        <row r="384">
          <cell r="F384" t="str">
            <v/>
          </cell>
        </row>
        <row r="385">
          <cell r="F385" t="str">
            <v/>
          </cell>
        </row>
        <row r="386">
          <cell r="F386" t="str">
            <v/>
          </cell>
        </row>
        <row r="387">
          <cell r="F387" t="str">
            <v/>
          </cell>
        </row>
        <row r="388">
          <cell r="F388" t="str">
            <v/>
          </cell>
        </row>
        <row r="389">
          <cell r="F389" t="str">
            <v/>
          </cell>
        </row>
        <row r="390">
          <cell r="F390" t="str">
            <v/>
          </cell>
        </row>
        <row r="391">
          <cell r="F391" t="str">
            <v/>
          </cell>
        </row>
        <row r="392">
          <cell r="F392" t="str">
            <v/>
          </cell>
        </row>
        <row r="393">
          <cell r="F393" t="str">
            <v/>
          </cell>
        </row>
        <row r="394">
          <cell r="F394" t="str">
            <v/>
          </cell>
        </row>
        <row r="395">
          <cell r="F395" t="str">
            <v/>
          </cell>
        </row>
        <row r="396">
          <cell r="F396" t="str">
            <v/>
          </cell>
        </row>
        <row r="397">
          <cell r="F397" t="str">
            <v/>
          </cell>
        </row>
        <row r="398">
          <cell r="F398" t="str">
            <v/>
          </cell>
        </row>
        <row r="399">
          <cell r="F399" t="str">
            <v/>
          </cell>
        </row>
        <row r="400">
          <cell r="F400" t="str">
            <v/>
          </cell>
        </row>
        <row r="401">
          <cell r="F401" t="str">
            <v/>
          </cell>
        </row>
        <row r="402">
          <cell r="F402" t="str">
            <v/>
          </cell>
        </row>
        <row r="403">
          <cell r="F403" t="str">
            <v/>
          </cell>
        </row>
        <row r="404">
          <cell r="F404" t="str">
            <v/>
          </cell>
        </row>
        <row r="405">
          <cell r="F405" t="str">
            <v/>
          </cell>
        </row>
        <row r="406">
          <cell r="F406" t="str">
            <v/>
          </cell>
        </row>
        <row r="407">
          <cell r="F407" t="str">
            <v/>
          </cell>
        </row>
        <row r="408">
          <cell r="F408" t="str">
            <v/>
          </cell>
        </row>
        <row r="409">
          <cell r="F409" t="str">
            <v/>
          </cell>
        </row>
        <row r="410">
          <cell r="F410" t="str">
            <v/>
          </cell>
        </row>
        <row r="411">
          <cell r="F411" t="str">
            <v/>
          </cell>
        </row>
        <row r="412">
          <cell r="F412" t="str">
            <v/>
          </cell>
        </row>
        <row r="413">
          <cell r="F413" t="str">
            <v/>
          </cell>
        </row>
        <row r="414">
          <cell r="F414" t="str">
            <v/>
          </cell>
        </row>
        <row r="415">
          <cell r="F415" t="str">
            <v/>
          </cell>
        </row>
        <row r="416">
          <cell r="F416" t="str">
            <v/>
          </cell>
        </row>
        <row r="417">
          <cell r="F417" t="str">
            <v/>
          </cell>
        </row>
        <row r="418">
          <cell r="F418" t="str">
            <v/>
          </cell>
        </row>
        <row r="419">
          <cell r="F419" t="str">
            <v/>
          </cell>
        </row>
        <row r="420">
          <cell r="F420" t="str">
            <v/>
          </cell>
        </row>
        <row r="421">
          <cell r="F421" t="str">
            <v/>
          </cell>
        </row>
        <row r="422">
          <cell r="F422" t="str">
            <v/>
          </cell>
        </row>
        <row r="423">
          <cell r="F423" t="str">
            <v/>
          </cell>
        </row>
        <row r="424">
          <cell r="F424" t="str">
            <v/>
          </cell>
        </row>
        <row r="425">
          <cell r="F425" t="str">
            <v/>
          </cell>
        </row>
        <row r="426">
          <cell r="F426" t="str">
            <v/>
          </cell>
        </row>
        <row r="427">
          <cell r="F427" t="str">
            <v/>
          </cell>
        </row>
        <row r="428">
          <cell r="F428" t="str">
            <v/>
          </cell>
        </row>
        <row r="429">
          <cell r="F429" t="str">
            <v/>
          </cell>
        </row>
        <row r="430">
          <cell r="F430" t="str">
            <v/>
          </cell>
        </row>
        <row r="431">
          <cell r="F431" t="str">
            <v/>
          </cell>
        </row>
        <row r="432">
          <cell r="F432" t="str">
            <v/>
          </cell>
        </row>
        <row r="433">
          <cell r="F433" t="str">
            <v/>
          </cell>
        </row>
        <row r="434">
          <cell r="F434" t="str">
            <v/>
          </cell>
        </row>
        <row r="435">
          <cell r="F435" t="str">
            <v/>
          </cell>
        </row>
        <row r="436">
          <cell r="F436" t="str">
            <v/>
          </cell>
        </row>
        <row r="437">
          <cell r="F437" t="str">
            <v/>
          </cell>
        </row>
        <row r="438">
          <cell r="F438" t="str">
            <v/>
          </cell>
        </row>
        <row r="439">
          <cell r="F439" t="str">
            <v/>
          </cell>
        </row>
        <row r="440">
          <cell r="F440" t="str">
            <v/>
          </cell>
        </row>
        <row r="441">
          <cell r="F441" t="str">
            <v/>
          </cell>
        </row>
        <row r="442">
          <cell r="F442" t="str">
            <v/>
          </cell>
        </row>
        <row r="443">
          <cell r="F443" t="str">
            <v/>
          </cell>
        </row>
        <row r="444">
          <cell r="F444" t="str">
            <v/>
          </cell>
        </row>
        <row r="445">
          <cell r="F445" t="str">
            <v/>
          </cell>
        </row>
        <row r="446">
          <cell r="F446" t="str">
            <v/>
          </cell>
        </row>
        <row r="447">
          <cell r="F447" t="str">
            <v/>
          </cell>
        </row>
        <row r="448">
          <cell r="F448" t="str">
            <v/>
          </cell>
        </row>
        <row r="449">
          <cell r="F449" t="str">
            <v/>
          </cell>
        </row>
        <row r="450">
          <cell r="F450" t="str">
            <v/>
          </cell>
        </row>
        <row r="451">
          <cell r="F451" t="str">
            <v/>
          </cell>
        </row>
        <row r="452">
          <cell r="F452" t="str">
            <v/>
          </cell>
        </row>
        <row r="453">
          <cell r="F453" t="str">
            <v/>
          </cell>
        </row>
        <row r="454">
          <cell r="F454" t="str">
            <v/>
          </cell>
        </row>
        <row r="455">
          <cell r="F455" t="str">
            <v/>
          </cell>
        </row>
        <row r="456">
          <cell r="F456" t="str">
            <v/>
          </cell>
        </row>
        <row r="457">
          <cell r="F457" t="str">
            <v/>
          </cell>
        </row>
        <row r="458">
          <cell r="F458" t="str">
            <v/>
          </cell>
        </row>
        <row r="459">
          <cell r="F459" t="str">
            <v/>
          </cell>
        </row>
        <row r="460">
          <cell r="F460" t="str">
            <v/>
          </cell>
        </row>
        <row r="461">
          <cell r="F461" t="str">
            <v/>
          </cell>
        </row>
        <row r="462">
          <cell r="F462" t="str">
            <v/>
          </cell>
        </row>
        <row r="463">
          <cell r="F463" t="str">
            <v/>
          </cell>
        </row>
        <row r="464">
          <cell r="F464" t="str">
            <v/>
          </cell>
        </row>
        <row r="465">
          <cell r="F465" t="str">
            <v/>
          </cell>
        </row>
        <row r="466">
          <cell r="F466" t="str">
            <v/>
          </cell>
        </row>
        <row r="467">
          <cell r="F467" t="str">
            <v/>
          </cell>
        </row>
        <row r="468">
          <cell r="F468" t="str">
            <v/>
          </cell>
        </row>
        <row r="469">
          <cell r="F469" t="str">
            <v/>
          </cell>
        </row>
        <row r="470">
          <cell r="F470" t="str">
            <v/>
          </cell>
        </row>
        <row r="471">
          <cell r="F471" t="str">
            <v/>
          </cell>
        </row>
        <row r="472">
          <cell r="F472" t="str">
            <v/>
          </cell>
        </row>
        <row r="473">
          <cell r="F473" t="str">
            <v/>
          </cell>
        </row>
        <row r="474">
          <cell r="F474" t="str">
            <v/>
          </cell>
        </row>
        <row r="475">
          <cell r="F475" t="str">
            <v/>
          </cell>
        </row>
        <row r="476">
          <cell r="F476" t="str">
            <v/>
          </cell>
        </row>
        <row r="477">
          <cell r="F477" t="str">
            <v/>
          </cell>
        </row>
        <row r="478">
          <cell r="F478" t="str">
            <v/>
          </cell>
        </row>
        <row r="479">
          <cell r="F479" t="str">
            <v/>
          </cell>
        </row>
        <row r="480">
          <cell r="F480" t="str">
            <v/>
          </cell>
        </row>
        <row r="481">
          <cell r="F481" t="str">
            <v/>
          </cell>
        </row>
        <row r="482">
          <cell r="F482" t="str">
            <v/>
          </cell>
        </row>
        <row r="483">
          <cell r="F483" t="str">
            <v/>
          </cell>
        </row>
        <row r="484">
          <cell r="F484" t="str">
            <v/>
          </cell>
        </row>
        <row r="485">
          <cell r="F485" t="str">
            <v/>
          </cell>
        </row>
        <row r="486">
          <cell r="F486" t="str">
            <v/>
          </cell>
        </row>
        <row r="487">
          <cell r="F487" t="str">
            <v/>
          </cell>
        </row>
        <row r="488">
          <cell r="F488" t="str">
            <v/>
          </cell>
        </row>
        <row r="489">
          <cell r="F489" t="str">
            <v/>
          </cell>
        </row>
        <row r="490">
          <cell r="F490" t="str">
            <v/>
          </cell>
        </row>
        <row r="491">
          <cell r="F491" t="str">
            <v/>
          </cell>
        </row>
        <row r="492">
          <cell r="F492" t="str">
            <v/>
          </cell>
        </row>
        <row r="493">
          <cell r="F493" t="str">
            <v/>
          </cell>
        </row>
        <row r="494">
          <cell r="F494" t="str">
            <v/>
          </cell>
        </row>
        <row r="495">
          <cell r="F495" t="str">
            <v/>
          </cell>
        </row>
        <row r="496">
          <cell r="F496" t="str">
            <v/>
          </cell>
        </row>
        <row r="497">
          <cell r="F497" t="str">
            <v/>
          </cell>
        </row>
        <row r="498">
          <cell r="F498" t="str">
            <v/>
          </cell>
        </row>
        <row r="499">
          <cell r="F499" t="str">
            <v/>
          </cell>
        </row>
        <row r="500">
          <cell r="F500" t="str">
            <v/>
          </cell>
        </row>
        <row r="501">
          <cell r="F501" t="str">
            <v/>
          </cell>
        </row>
      </sheetData>
    </sheetDataSet>
  </externalBook>
</externalLink>
</file>

<file path=xl/persons/person.xml><?xml version="1.0" encoding="utf-8"?>
<personList xmlns="http://schemas.microsoft.com/office/spreadsheetml/2018/threadedcomments" xmlns:x="http://schemas.openxmlformats.org/spreadsheetml/2006/main">
  <person displayName="Khanh, Truong Nguyen [Tech/System Architecture]" id="{AC30EC6D-755C-4CB6-B1B3-D0EE1E71C992}" userId="S::truongn.khanh@dai-ichi-life.com.vn::ae9850e6-98c0-48cd-bd62-7d1e39d3c9c7"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9" dT="2026-02-05T02:41:19.97" personId="{AC30EC6D-755C-4CB6-B1B3-D0EE1E71C992}" id="{EDB84A54-BFB2-41A5-89AE-5BD4C32046B0}">
    <text xml:space="preserve">Cần develop “DevOps Operation Standards” document - Section GitLab/ApplicationConfiguration - SA in charge
</text>
  </threadedComment>
  <threadedComment ref="G25" dT="2026-02-05T02:32:25.32" personId="{AC30EC6D-755C-4CB6-B1B3-D0EE1E71C992}" id="{F4F56366-0364-4E01-B665-A2723478FCCD}">
    <text>Cần develop “DevOps Operation Standards” document - Section Harbor -  SA in charge</text>
  </threadedComment>
  <threadedComment ref="G26" dT="2026-02-05T02:30:22.70" personId="{AC30EC6D-755C-4CB6-B1B3-D0EE1E71C992}" id="{00A3FB85-A82C-4922-AD11-93E7C20B7798}">
    <text>Cần update guideline để hướng dẫn tạo Runner trên Server Linux</text>
  </threadedComment>
  <threadedComment ref="G27" dT="2026-02-05T02:31:21.76" personId="{AC30EC6D-755C-4CB6-B1B3-D0EE1E71C992}" id="{960DEF7F-DC8B-4921-B697-D7E6EF675BEC}">
    <text xml:space="preserve">Cần develop “DevOps Engineering Standards” - Section GitLab Pipeline
</text>
  </threadedComment>
  <threadedComment ref="G28" dT="2026-02-05T02:33:20.14" personId="{AC30EC6D-755C-4CB6-B1B3-D0EE1E71C992}" id="{6A7E01C2-63F6-4D2B-A832-D901C9D5DFB5}">
    <text>Cần develop “DevOps Operation Standards” document - Section OpenShift -  SA in charge</text>
  </threadedComment>
  <threadedComment ref="G29" dT="2026-02-05T02:34:53.03" personId="{AC30EC6D-755C-4CB6-B1B3-D0EE1E71C992}" id="{B7324371-DC18-44F1-A94E-26A08C9393E3}">
    <text>Cần develop “DevOps Operation Standards” document - Section OpenShift - Section GitLab - SA in charge</text>
  </threadedComment>
  <threadedComment ref="G30" dT="2026-02-05T02:35:33.38" personId="{AC30EC6D-755C-4CB6-B1B3-D0EE1E71C992}" id="{068F9B23-B22E-44E5-93CC-E65C0CEA552A}">
    <text>Cần develop “DevOps Operation Standards” document - Section GitLab/Helm -  SA in charge</text>
  </threadedComment>
  <threadedComment ref="G31" dT="2026-02-05T02:27:58.92" personId="{AC30EC6D-755C-4CB6-B1B3-D0EE1E71C992}" id="{7EAEEDC1-1AB6-4F65-AA62-9939A418A150}">
    <text>Cần develop “DevOps Engineering Standards” - Section Helm Chart</text>
  </threadedComment>
  <threadedComment ref="G32" dT="2026-02-05T02:04:37.04" personId="{AC30EC6D-755C-4CB6-B1B3-D0EE1E71C992}" id="{F7C990B1-0646-4302-AEC6-4831EFD9DAA6}">
    <text>SA chỉ update file values? Còn những file templates/chart thì System Architecture? Cần tách rõ ra 2 dòng? 
Update values in HelmChart?
Update templates in HelmChart?</text>
  </threadedComment>
  <threadedComment ref="G33" dT="2026-02-05T02:36:21.74" personId="{AC30EC6D-755C-4CB6-B1B3-D0EE1E71C992}" id="{64D703FF-2F13-4BC0-ADE1-F733F47589D3}">
    <text>Cần develop “DevOps Operation Standards” document - Section Argo CD - SA in charge</text>
  </threadedComment>
  <threadedComment ref="G34" dT="2026-02-05T02:36:51.00" personId="{AC30EC6D-755C-4CB6-B1B3-D0EE1E71C992}" id="{E05270F4-B678-4564-BA6A-2F20644132FD}">
    <text>Cần develop “DevOps Operation Standards” document - Section F5 Load Balancing - SA in charge</text>
  </threadedComment>
  <threadedComment ref="G35" dT="2026-02-05T07:14:49.06" personId="{AC30EC6D-755C-4CB6-B1B3-D0EE1E71C992}" id="{74B00FB6-6281-4D36-8540-8430A59AD01B}">
    <text xml:space="preserve">Cần develop “DevOps Engineering Standards” - Section Ansible Playbook
</text>
  </threadedComment>
  <threadedComment ref="G36" dT="2026-02-05T10:36:37.60" personId="{AC30EC6D-755C-4CB6-B1B3-D0EE1E71C992}" id="{AAB0A584-4D85-4119-8AFC-040CC4C7BA8F}">
    <text xml:space="preserve">Cần develop “DevOps Operation Standards” document - Section OpenShift - SA in charge
</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6-01-16T07:48:11.23" personId="{AC30EC6D-755C-4CB6-B1B3-D0EE1E71C992}" id="{CEA54AF0-DA17-4575-A607-1BE255469146}">
    <text xml:space="preserve">Dockerfile-openshift:
ENV SPRING_CONFIG_LOCATION="/home/appconfig/" ENV SPRING_LOGGING_CONFIG="${SPRING_CONFIG_LOCATION}logback.xml" 
https://git.dai-ichi-life.com.vn/dlvn/d-connect-system/d-connect-backend/-/blob/main/Dockerfile-openshift?ref_type=heads
Helm Chart (configmap)
application.properties: |- 
Helm Chart (config secret)
sensitiveData: 
https://git.dai-ichi-life.com.vn/gitops/uat/helm-chart-d-connect-system-uat/-/blob/main/d-connect-backend/values.uat.yaml?ref_type=heads
Dockerfile-openshift:
ENV SPRING_CONFIG_LOCATION="/home/appconfig/" ENV SPRING_LOGGING_CONFIG="${SPRING_CONFIG_LOCATION}logback.xml" 
https://git.dai-ichi-life.com.vn/dlvn/d-connect-system/d-connect-backend/-/blob/main/Dockerfile-openshift?ref_type=heads
Helm Chart (configmap)
application.properties: |- 
Helm Chart (config secret)
sensitiveData: 
https://git.dai-ichi-life.com.vn/gitops/uat/helm-chart-d-connect-system-uat/-/blob/main/d-connect-backend/values.uat.yaml?ref_type=heads
</text>
    <extLst>
      <x:ext xmlns:xltc2="http://schemas.microsoft.com/office/spreadsheetml/2020/threadedcomments2" uri="{F7C98A9C-CBB3-438F-8F68-D28B6AF4A901}">
        <xltc2:checksum>1007202918</xltc2:checksum>
        <xltc2:hyperlink startIndex="135" length="120" url="https://git.dai-ichi-life.com.vn/dlvn/d-connect-system/d-connect-backend/-/blob/main/Dockerfile-openshift?ref_type=heads"/>
        <xltc2:hyperlink startIndex="352" length="136" url="https://git.dai-ichi-life.com.vn/gitops/uat/helm-chart-d-connect-system-uat/-/blob/main/d-connect-backend/values.uat.yaml?ref_type=heads"/>
        <xltc2:hyperlink startIndex="626" length="120" url="https://git.dai-ichi-life.com.vn/dlvn/d-connect-system/d-connect-backend/-/blob/main/Dockerfile-openshift?ref_type=heads"/>
        <xltc2:hyperlink startIndex="843" length="136" url="https://git.dai-ichi-life.com.vn/gitops/uat/helm-chart-d-connect-system-uat/-/blob/main/d-connect-backend/values.uat.yaml?ref_type=heads"/>
      </x:ext>
    </extLst>
  </threadedComment>
  <threadedComment ref="E4" dT="2026-01-16T08:02:14.17" personId="{AC30EC6D-755C-4CB6-B1B3-D0EE1E71C992}" id="{11FE1162-F104-4585-A2F5-45071CBACE22}">
    <text xml:space="preserve">Dockerfile-openshift:
ENV SPRING_CONFIG_LOCATION="/home/appconfig/" ENV SPRING_LOGGING_CONFIG="${SPRING_CONFIG_LOCATION}logback.xml" 
https://git.dai-ichi-life.com.vn/dlvn/d-connect-system/d-connect-backend/-/blob/main/Dockerfile-openshift?ref_type=heads
Helm Chart (configmap)
application.properties: |- 
Helm Chart (config secret)
sensitiveData: 
https://git.dai-ichi-life.com.vn/gitops/uat/helm-chart-d-connect-system-uat/-/blob/main/d-connect-backend/values.uat.yaml?ref_type=heads
</text>
    <extLst>
      <x:ext xmlns:xltc2="http://schemas.microsoft.com/office/spreadsheetml/2020/threadedcomments2" uri="{F7C98A9C-CBB3-438F-8F68-D28B6AF4A901}">
        <xltc2:checksum>1279885666</xltc2:checksum>
        <xltc2:hyperlink startIndex="135" length="120" url="https://git.dai-ichi-life.com.vn/dlvn/d-connect-system/d-connect-backend/-/blob/main/Dockerfile-openshift?ref_type=heads"/>
        <xltc2:hyperlink startIndex="352" length="136" url="https://git.dai-ichi-life.com.vn/gitops/uat/helm-chart-d-connect-system-uat/-/blob/main/d-connect-backend/values.uat.yaml?ref_type=heads"/>
      </x:ext>
    </extLst>
  </threadedComment>
  <threadedComment ref="E10" dT="2026-01-16T09:14:01.67" personId="{AC30EC6D-755C-4CB6-B1B3-D0EE1E71C992}" id="{D816243F-DFD3-4D4C-A1F6-523E3D17BF98}">
    <text xml:space="preserve">HelmChart: 
Logback.xml !
</text>
  </threadedComment>
  <threadedComment ref="F16" dT="2026-02-04T07:01:23.00" personId="{AC30EC6D-755C-4CB6-B1B3-D0EE1E71C992}" id="{D640AA12-9CB5-4C29-9545-CFC588ADB283}">
    <text>Đối với On-Prem thì không cần tạo project mới mà dùng chung project “artifact-releases”, phân quyền 1 lần duy nhất và đã làm rồi. 
User này trong Git Global Variables
Trong file base.gitlab-ci.yml sẽ có đoạn docker login sử dụng biến username và password để login (cụ thể tên biến xem lại trong file base.gitlab-ci.yml (HARBOR_HOST, HARBOR_USERNAME, HARBOR_PASSWORD)</text>
  </threadedComment>
  <threadedComment ref="B19" dT="2026-02-04T07:16:30.61" personId="{AC30EC6D-755C-4CB6-B1B3-D0EE1E71C992}" id="{03664E1B-8FE7-433B-A9FF-9430CF2A573C}">
    <text>App config # biến môi trường # file config theo từng môi trường</text>
  </threadedComment>
  <threadedComment ref="F19" dT="2026-02-04T07:15:41.68" personId="{AC30EC6D-755C-4CB6-B1B3-D0EE1E71C992}" id="{DF2E3082-CC20-459F-9D50-F6842597ED52}">
    <text>CI Node,js thì bước này phải nằm trên
CD On-Prem thì bước này nằm ở đây đúng</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6-01-16T07:53:22.08" personId="{AC30EC6D-755C-4CB6-B1B3-D0EE1E71C992}" id="{A2D76553-9D21-4272-803C-85FCB9D8B23A}">
    <text>Không dùng file .bat thì viết command line</text>
  </threadedComment>
</ThreadedComments>
</file>

<file path=xl/threadedComments/threadedComment4.xml><?xml version="1.0" encoding="utf-8"?>
<ThreadedComments xmlns="http://schemas.microsoft.com/office/spreadsheetml/2018/threadedcomments" xmlns:x="http://schemas.openxmlformats.org/spreadsheetml/2006/main">
  <threadedComment ref="A5" dT="2026-01-16T08:14:59.48" personId="{AC30EC6D-755C-4CB6-B1B3-D0EE1E71C992}" id="{43145269-381D-49FB-9C17-86EB24D39BB0}">
    <text>1. PV – Persistent Volume
Persistent Volume (PV) là:
Một tài nguyên lưu trữ (storage resource) ở cấp cluster
Được admin hoặc hệ thống tự động (StorageClass) tạo ra
Đại diện cho ổ lưu trữ thực (NFS, iSCSI, AWS EBS, GCE PD, Azure Disk, Ceph, v.v.)
👉 Hiểu đơn giản: PV = “ổ cứng” đã được cấp sẵn trong cluster
Đặc điểm chính:
Độc lập với Pod (Pod bị xóa thì dữ liệu vẫn còn)
Có các thuộc tính như:
capacity (dung lượng)
accessModes (ReadWriteOnce, ReadOnlyMany, ReadWriteMany)
storageClass
reclaimPolicy (Retain / Delete / Recycle)
2. PVC – Persistent Volume Claim
Persistent Volume Claim (PVC) là:
Một yêu cầu sử dụng storage do developer / application khai báo
Không quan tâm storage nằm ở đâu, chỉ quan tâm cần gì
👉 Hiểu đơn giản: PVC = “đơn xin cấp ổ cứng”
PVC mô tả:
Cần bao nhiêu dung lượng (ví dụ 10Gi)
Cần access mode nào
Cần StorageClass nào
Kubernetes sẽ:
Tìm một PV phù hợp để gán cho PVC
hoặc
Tự động tạo PV nếu dùng StorageClass (dynamic provisioning)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kh.dai-ichi-life.com.vn/10.166.0.14,%2010.166.0.69" TargetMode="External"/><Relationship Id="rId2" Type="http://schemas.openxmlformats.org/officeDocument/2006/relationships/hyperlink" Target="https://khuat.dai-ichi-life.com.vn/10.166.2.37" TargetMode="External"/><Relationship Id="rId1" Type="http://schemas.openxmlformats.org/officeDocument/2006/relationships/hyperlink" Target="https://hoslabdevopsasb.dai-ichi-life.com.vn/10.166.2.28" TargetMode="External"/><Relationship Id="rId4" Type="http://schemas.openxmlformats.org/officeDocument/2006/relationships/hyperlink" Target="https://khpentest.dai-ichi-life.com.vn/10.166.2.55"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git.dai-ichi-life.com.vn/gitops/uat/helm-chart-d-connect-system-uat/-/tree/main/d-connect-backend?ref_type=heads" TargetMode="External"/><Relationship Id="rId2" Type="http://schemas.openxmlformats.org/officeDocument/2006/relationships/hyperlink" Target="https://gitlabtest.dai-ichi-life.com.vn/admin/application_settings/integrations" TargetMode="External"/><Relationship Id="rId1" Type="http://schemas.openxmlformats.org/officeDocument/2006/relationships/hyperlink" Target="https://git.dai-ichi-life.com.vn/dlvn/d-connect-system/d-connect-backend/-/blob/main/src/main/resources/application.properties?ref_type=heads"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hyperlink" Target="https://git.dai-ichi-life.com.vn/dlvn/d-connect-system/d-connect-edoc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AE27-0E13-4DAE-8B20-E3F49173CB7C}">
  <dimension ref="A1:K44"/>
  <sheetViews>
    <sheetView zoomScale="85" zoomScaleNormal="85" workbookViewId="0">
      <pane ySplit="1" topLeftCell="A2" activePane="bottomLeft" state="frozen"/>
      <selection pane="bottomLeft" sqref="A1:B10"/>
    </sheetView>
  </sheetViews>
  <sheetFormatPr defaultColWidth="10.42578125" defaultRowHeight="15" x14ac:dyDescent="0.25"/>
  <cols>
    <col min="1" max="1" width="21.85546875" style="23" bestFit="1" customWidth="1"/>
    <col min="2" max="2" width="35.42578125" style="23" bestFit="1" customWidth="1"/>
    <col min="3" max="3" width="11.85546875" style="23" bestFit="1" customWidth="1"/>
    <col min="4" max="4" width="9.5703125" style="23" bestFit="1" customWidth="1"/>
    <col min="5" max="5" width="18.28515625" style="23" bestFit="1" customWidth="1"/>
    <col min="6" max="6" width="80.7109375" style="23" customWidth="1"/>
    <col min="7" max="7" width="40.5703125" style="23" bestFit="1" customWidth="1"/>
    <col min="8" max="8" width="41.28515625" style="23" customWidth="1"/>
    <col min="9" max="9" width="40.140625" style="23" customWidth="1"/>
    <col min="10" max="10" width="14.7109375" style="23" bestFit="1" customWidth="1"/>
    <col min="11" max="16384" width="10.42578125" style="23"/>
  </cols>
  <sheetData>
    <row r="1" spans="1:11" ht="20.85" customHeight="1" x14ac:dyDescent="0.25">
      <c r="A1" s="40" t="s">
        <v>357</v>
      </c>
      <c r="B1" s="40" t="s">
        <v>356</v>
      </c>
      <c r="C1" s="40" t="s">
        <v>355</v>
      </c>
      <c r="D1" s="40" t="s">
        <v>354</v>
      </c>
      <c r="E1" s="40" t="s">
        <v>353</v>
      </c>
      <c r="F1" s="40" t="s">
        <v>352</v>
      </c>
      <c r="G1" s="40" t="s">
        <v>351</v>
      </c>
      <c r="H1" s="40" t="s">
        <v>350</v>
      </c>
      <c r="I1" s="40" t="s">
        <v>349</v>
      </c>
      <c r="J1" s="40" t="s">
        <v>348</v>
      </c>
    </row>
    <row r="2" spans="1:11" ht="210" x14ac:dyDescent="0.25">
      <c r="A2" s="42" t="s">
        <v>347</v>
      </c>
      <c r="B2" s="29" t="s">
        <v>346</v>
      </c>
      <c r="C2" s="29" t="s">
        <v>284</v>
      </c>
      <c r="D2" s="29" t="s">
        <v>283</v>
      </c>
      <c r="E2" s="29" t="s">
        <v>300</v>
      </c>
      <c r="F2" s="39" t="s">
        <v>345</v>
      </c>
      <c r="G2" s="38" t="s">
        <v>344</v>
      </c>
      <c r="H2" s="38" t="s">
        <v>343</v>
      </c>
      <c r="I2" s="38" t="s">
        <v>342</v>
      </c>
      <c r="J2" s="29" t="s">
        <v>298</v>
      </c>
    </row>
    <row r="3" spans="1:11" ht="30" x14ac:dyDescent="0.25">
      <c r="A3" s="43"/>
      <c r="B3" s="24" t="s">
        <v>341</v>
      </c>
      <c r="C3" s="24" t="s">
        <v>239</v>
      </c>
      <c r="D3" s="24" t="s">
        <v>287</v>
      </c>
      <c r="E3" s="24" t="s">
        <v>337</v>
      </c>
      <c r="F3" s="25" t="s">
        <v>340</v>
      </c>
      <c r="G3" s="24" t="s">
        <v>335</v>
      </c>
      <c r="H3" s="24" t="s">
        <v>334</v>
      </c>
      <c r="I3" s="24" t="s">
        <v>316</v>
      </c>
      <c r="J3" s="29" t="s">
        <v>298</v>
      </c>
      <c r="K3" s="23" t="s">
        <v>339</v>
      </c>
    </row>
    <row r="4" spans="1:11" ht="30" x14ac:dyDescent="0.25">
      <c r="A4" s="43"/>
      <c r="B4" s="24" t="s">
        <v>338</v>
      </c>
      <c r="C4" s="24" t="s">
        <v>239</v>
      </c>
      <c r="D4" s="24" t="s">
        <v>287</v>
      </c>
      <c r="E4" s="24" t="s">
        <v>337</v>
      </c>
      <c r="F4" s="25" t="s">
        <v>336</v>
      </c>
      <c r="G4" s="24" t="s">
        <v>335</v>
      </c>
      <c r="H4" s="24" t="s">
        <v>334</v>
      </c>
      <c r="I4" s="24" t="s">
        <v>316</v>
      </c>
      <c r="J4" s="29" t="s">
        <v>298</v>
      </c>
    </row>
    <row r="5" spans="1:11" ht="30" x14ac:dyDescent="0.25">
      <c r="A5" s="43"/>
      <c r="B5" s="37" t="s">
        <v>333</v>
      </c>
      <c r="C5" s="24"/>
      <c r="D5" s="24"/>
      <c r="E5" s="24" t="s">
        <v>296</v>
      </c>
      <c r="F5" s="25" t="s">
        <v>332</v>
      </c>
      <c r="G5" s="24" t="s">
        <v>326</v>
      </c>
      <c r="H5" s="25" t="s">
        <v>325</v>
      </c>
      <c r="I5" s="24" t="s">
        <v>329</v>
      </c>
      <c r="J5" s="29" t="s">
        <v>298</v>
      </c>
    </row>
    <row r="6" spans="1:11" ht="30" x14ac:dyDescent="0.25">
      <c r="A6" s="43"/>
      <c r="B6" s="24" t="s">
        <v>331</v>
      </c>
      <c r="C6" s="24"/>
      <c r="D6" s="24"/>
      <c r="E6" s="24" t="s">
        <v>296</v>
      </c>
      <c r="F6" s="25" t="s">
        <v>330</v>
      </c>
      <c r="G6" s="24" t="s">
        <v>326</v>
      </c>
      <c r="H6" s="25" t="s">
        <v>325</v>
      </c>
      <c r="I6" s="24" t="s">
        <v>329</v>
      </c>
      <c r="J6" s="29" t="s">
        <v>298</v>
      </c>
    </row>
    <row r="7" spans="1:11" ht="30" x14ac:dyDescent="0.25">
      <c r="A7" s="43"/>
      <c r="B7" s="24" t="s">
        <v>328</v>
      </c>
      <c r="C7" s="24"/>
      <c r="D7" s="24"/>
      <c r="E7" s="24" t="s">
        <v>296</v>
      </c>
      <c r="F7" s="25" t="s">
        <v>327</v>
      </c>
      <c r="G7" s="24" t="s">
        <v>326</v>
      </c>
      <c r="H7" s="25" t="s">
        <v>325</v>
      </c>
      <c r="I7" s="24" t="s">
        <v>324</v>
      </c>
      <c r="J7" s="29" t="s">
        <v>298</v>
      </c>
    </row>
    <row r="8" spans="1:11" x14ac:dyDescent="0.25">
      <c r="A8" s="43"/>
      <c r="B8" s="24" t="s">
        <v>293</v>
      </c>
      <c r="C8" s="24"/>
      <c r="D8" s="24"/>
      <c r="E8" s="24" t="s">
        <v>292</v>
      </c>
      <c r="F8" s="25" t="s">
        <v>323</v>
      </c>
      <c r="G8" s="24" t="s">
        <v>290</v>
      </c>
      <c r="H8" s="24" t="s">
        <v>290</v>
      </c>
      <c r="I8" s="24" t="s">
        <v>322</v>
      </c>
      <c r="J8" s="24" t="s">
        <v>321</v>
      </c>
    </row>
    <row r="9" spans="1:11" x14ac:dyDescent="0.25">
      <c r="A9" s="43"/>
      <c r="B9" s="35" t="s">
        <v>320</v>
      </c>
      <c r="C9" s="35" t="s">
        <v>319</v>
      </c>
      <c r="D9" s="34" t="s">
        <v>283</v>
      </c>
      <c r="E9" s="35" t="s">
        <v>318</v>
      </c>
      <c r="F9" s="36" t="s">
        <v>317</v>
      </c>
      <c r="G9" s="35"/>
      <c r="H9" s="35"/>
      <c r="I9" s="35" t="s">
        <v>316</v>
      </c>
      <c r="J9" s="34" t="s">
        <v>298</v>
      </c>
    </row>
    <row r="10" spans="1:11" x14ac:dyDescent="0.25">
      <c r="A10" s="44"/>
      <c r="B10" s="24" t="s">
        <v>315</v>
      </c>
      <c r="C10" s="24" t="s">
        <v>288</v>
      </c>
      <c r="D10" s="24" t="s">
        <v>287</v>
      </c>
      <c r="E10" s="24" t="s">
        <v>286</v>
      </c>
      <c r="F10" s="25"/>
      <c r="G10" s="24"/>
      <c r="H10" s="24"/>
      <c r="I10" s="24"/>
      <c r="J10" s="29"/>
    </row>
    <row r="11" spans="1:11" ht="30" x14ac:dyDescent="0.25">
      <c r="A11" s="45" t="s">
        <v>314</v>
      </c>
      <c r="B11" s="31" t="s">
        <v>313</v>
      </c>
      <c r="C11" s="31" t="s">
        <v>284</v>
      </c>
      <c r="D11" s="31" t="s">
        <v>283</v>
      </c>
      <c r="E11" s="31" t="s">
        <v>282</v>
      </c>
      <c r="F11" s="32" t="s">
        <v>281</v>
      </c>
      <c r="G11" s="31" t="s">
        <v>305</v>
      </c>
      <c r="H11" s="32" t="s">
        <v>312</v>
      </c>
      <c r="I11" s="31"/>
      <c r="J11" s="30" t="s">
        <v>259</v>
      </c>
    </row>
    <row r="12" spans="1:11" ht="30" x14ac:dyDescent="0.25">
      <c r="A12" s="46"/>
      <c r="B12" s="31" t="s">
        <v>311</v>
      </c>
      <c r="C12" s="31" t="s">
        <v>239</v>
      </c>
      <c r="D12" s="31" t="s">
        <v>287</v>
      </c>
      <c r="E12" s="31" t="s">
        <v>307</v>
      </c>
      <c r="F12" s="32" t="s">
        <v>310</v>
      </c>
      <c r="G12" s="31" t="s">
        <v>305</v>
      </c>
      <c r="H12" s="32" t="s">
        <v>309</v>
      </c>
      <c r="I12" s="31"/>
      <c r="J12" s="30" t="s">
        <v>259</v>
      </c>
    </row>
    <row r="13" spans="1:11" x14ac:dyDescent="0.25">
      <c r="A13" s="46"/>
      <c r="B13" s="31" t="s">
        <v>308</v>
      </c>
      <c r="C13" s="31" t="s">
        <v>239</v>
      </c>
      <c r="D13" s="31" t="s">
        <v>287</v>
      </c>
      <c r="E13" s="31" t="s">
        <v>307</v>
      </c>
      <c r="F13" s="32" t="s">
        <v>306</v>
      </c>
      <c r="G13" s="31" t="s">
        <v>305</v>
      </c>
      <c r="H13" s="31" t="s">
        <v>304</v>
      </c>
      <c r="I13" s="31"/>
      <c r="J13" s="30" t="s">
        <v>259</v>
      </c>
    </row>
    <row r="14" spans="1:11" x14ac:dyDescent="0.25">
      <c r="A14" s="46"/>
      <c r="B14" s="33" t="s">
        <v>303</v>
      </c>
      <c r="C14" s="31" t="s">
        <v>284</v>
      </c>
      <c r="D14" s="31" t="s">
        <v>283</v>
      </c>
      <c r="E14" s="31" t="s">
        <v>300</v>
      </c>
      <c r="F14" s="32" t="s">
        <v>302</v>
      </c>
      <c r="G14" s="31"/>
      <c r="H14" s="31" t="s">
        <v>277</v>
      </c>
      <c r="I14" s="31"/>
      <c r="J14" s="30" t="s">
        <v>298</v>
      </c>
    </row>
    <row r="15" spans="1:11" ht="30" x14ac:dyDescent="0.25">
      <c r="A15" s="46"/>
      <c r="B15" s="33" t="s">
        <v>301</v>
      </c>
      <c r="C15" s="31" t="s">
        <v>284</v>
      </c>
      <c r="D15" s="31" t="s">
        <v>283</v>
      </c>
      <c r="E15" s="31" t="s">
        <v>300</v>
      </c>
      <c r="F15" s="32" t="s">
        <v>299</v>
      </c>
      <c r="G15" s="31"/>
      <c r="H15" s="31" t="s">
        <v>277</v>
      </c>
      <c r="I15" s="31"/>
      <c r="J15" s="30" t="s">
        <v>298</v>
      </c>
    </row>
    <row r="16" spans="1:11" ht="30" x14ac:dyDescent="0.25">
      <c r="A16" s="46"/>
      <c r="B16" s="31" t="s">
        <v>297</v>
      </c>
      <c r="C16" s="31"/>
      <c r="D16" s="31"/>
      <c r="E16" s="31" t="s">
        <v>296</v>
      </c>
      <c r="F16" s="32" t="s">
        <v>295</v>
      </c>
      <c r="G16" s="31"/>
      <c r="H16" s="31" t="s">
        <v>294</v>
      </c>
      <c r="I16" s="31"/>
      <c r="J16" s="30"/>
    </row>
    <row r="17" spans="1:10" x14ac:dyDescent="0.25">
      <c r="A17" s="46"/>
      <c r="B17" s="31" t="s">
        <v>293</v>
      </c>
      <c r="C17" s="31"/>
      <c r="D17" s="31"/>
      <c r="E17" s="31" t="s">
        <v>292</v>
      </c>
      <c r="F17" s="32" t="s">
        <v>291</v>
      </c>
      <c r="G17" s="31"/>
      <c r="H17" s="31" t="s">
        <v>290</v>
      </c>
      <c r="I17" s="31"/>
      <c r="J17" s="30"/>
    </row>
    <row r="18" spans="1:10" x14ac:dyDescent="0.25">
      <c r="A18" s="47"/>
      <c r="B18" s="31" t="s">
        <v>289</v>
      </c>
      <c r="C18" s="31" t="s">
        <v>288</v>
      </c>
      <c r="D18" s="31" t="s">
        <v>287</v>
      </c>
      <c r="E18" s="31" t="s">
        <v>286</v>
      </c>
      <c r="F18" s="32"/>
      <c r="G18" s="31"/>
      <c r="H18" s="31"/>
      <c r="I18" s="31"/>
      <c r="J18" s="30"/>
    </row>
    <row r="19" spans="1:10" ht="30" x14ac:dyDescent="0.25">
      <c r="A19" s="29"/>
      <c r="B19" s="25" t="s">
        <v>285</v>
      </c>
      <c r="C19" s="24" t="s">
        <v>284</v>
      </c>
      <c r="D19" s="24" t="s">
        <v>283</v>
      </c>
      <c r="E19" s="24" t="s">
        <v>282</v>
      </c>
      <c r="F19" s="25" t="s">
        <v>281</v>
      </c>
      <c r="H19" s="25" t="s">
        <v>280</v>
      </c>
      <c r="I19" s="24"/>
      <c r="J19" s="29" t="s">
        <v>259</v>
      </c>
    </row>
    <row r="20" spans="1:10" x14ac:dyDescent="0.25">
      <c r="A20" s="29"/>
      <c r="B20" s="24"/>
      <c r="C20" s="24"/>
      <c r="D20" s="24"/>
      <c r="E20" s="24"/>
      <c r="F20" s="25"/>
      <c r="G20" s="24"/>
      <c r="H20" s="24"/>
      <c r="I20" s="24"/>
      <c r="J20" s="29"/>
    </row>
    <row r="21" spans="1:10" x14ac:dyDescent="0.25">
      <c r="A21" s="29"/>
      <c r="B21" s="24"/>
      <c r="C21" s="24"/>
      <c r="D21" s="24"/>
      <c r="E21" s="24"/>
      <c r="F21" s="25"/>
      <c r="G21" s="24"/>
      <c r="H21" s="24"/>
      <c r="I21" s="24"/>
      <c r="J21" s="29"/>
    </row>
    <row r="22" spans="1:10" x14ac:dyDescent="0.25">
      <c r="A22" s="29"/>
      <c r="B22" s="24"/>
      <c r="C22" s="24"/>
      <c r="D22" s="24"/>
      <c r="E22" s="24"/>
      <c r="F22" s="25"/>
      <c r="G22" s="24"/>
      <c r="H22" s="24"/>
      <c r="I22" s="24"/>
      <c r="J22" s="29"/>
    </row>
    <row r="23" spans="1:10" x14ac:dyDescent="0.25">
      <c r="A23" s="29"/>
      <c r="B23" s="24"/>
      <c r="C23" s="24"/>
      <c r="D23" s="24"/>
      <c r="E23" s="24"/>
      <c r="F23" s="25"/>
      <c r="G23" s="24"/>
      <c r="H23" s="24"/>
      <c r="I23" s="24"/>
      <c r="J23" s="29"/>
    </row>
    <row r="24" spans="1:10" x14ac:dyDescent="0.25">
      <c r="A24" s="29"/>
      <c r="B24" s="24"/>
      <c r="C24" s="24"/>
      <c r="D24" s="24"/>
      <c r="E24" s="24"/>
      <c r="F24" s="25"/>
      <c r="G24" s="24"/>
      <c r="H24" s="24"/>
      <c r="I24" s="24"/>
      <c r="J24" s="29"/>
    </row>
    <row r="25" spans="1:10" x14ac:dyDescent="0.25">
      <c r="A25" s="29"/>
      <c r="B25" s="24"/>
      <c r="C25" s="24"/>
      <c r="D25" s="24"/>
      <c r="E25" s="24"/>
      <c r="F25" s="25"/>
      <c r="G25" s="24"/>
      <c r="H25" s="24"/>
      <c r="I25" s="24"/>
      <c r="J25" s="29"/>
    </row>
    <row r="26" spans="1:10" x14ac:dyDescent="0.25">
      <c r="A26" s="29"/>
      <c r="B26" s="24"/>
      <c r="C26" s="24"/>
      <c r="D26" s="24"/>
      <c r="E26" s="24"/>
      <c r="F26" s="25"/>
      <c r="G26" s="24"/>
      <c r="H26" s="24"/>
      <c r="I26" s="24"/>
      <c r="J26" s="29"/>
    </row>
    <row r="27" spans="1:10" x14ac:dyDescent="0.25">
      <c r="A27" s="29"/>
      <c r="B27" s="24"/>
      <c r="C27" s="24"/>
      <c r="D27" s="24"/>
      <c r="E27" s="24"/>
      <c r="F27" s="25"/>
      <c r="G27" s="24"/>
      <c r="H27" s="24"/>
      <c r="I27" s="24"/>
      <c r="J27" s="29"/>
    </row>
    <row r="28" spans="1:10" x14ac:dyDescent="0.25">
      <c r="A28" s="26"/>
      <c r="B28" s="27"/>
      <c r="C28" s="27"/>
      <c r="D28" s="26"/>
      <c r="E28" s="27"/>
      <c r="F28" s="28"/>
      <c r="G28" s="27"/>
      <c r="H28" s="27"/>
      <c r="I28" s="27"/>
      <c r="J28" s="26"/>
    </row>
    <row r="29" spans="1:10" x14ac:dyDescent="0.25">
      <c r="A29" s="24" t="s">
        <v>279</v>
      </c>
      <c r="B29" s="24"/>
      <c r="C29" s="24"/>
      <c r="D29" s="24"/>
      <c r="E29" s="24"/>
      <c r="F29" s="25"/>
      <c r="G29" s="24" t="s">
        <v>278</v>
      </c>
      <c r="H29" s="24" t="s">
        <v>277</v>
      </c>
      <c r="I29" s="24" t="s">
        <v>276</v>
      </c>
      <c r="J29" s="24" t="s">
        <v>259</v>
      </c>
    </row>
    <row r="30" spans="1:10" x14ac:dyDescent="0.25">
      <c r="A30" s="24" t="s">
        <v>275</v>
      </c>
      <c r="B30" s="24"/>
      <c r="C30" s="24"/>
      <c r="D30" s="24"/>
      <c r="E30" s="24"/>
      <c r="F30" s="25" t="s">
        <v>274</v>
      </c>
      <c r="G30" s="24" t="s">
        <v>273</v>
      </c>
      <c r="H30" s="24" t="s">
        <v>272</v>
      </c>
      <c r="I30" s="24" t="s">
        <v>272</v>
      </c>
      <c r="J30" s="24" t="s">
        <v>259</v>
      </c>
    </row>
    <row r="31" spans="1:10" x14ac:dyDescent="0.25">
      <c r="A31" s="24" t="s">
        <v>271</v>
      </c>
      <c r="B31" s="24"/>
      <c r="C31" s="24"/>
      <c r="D31" s="24"/>
      <c r="E31" s="24"/>
      <c r="F31" s="25" t="s">
        <v>270</v>
      </c>
      <c r="G31" s="24" t="s">
        <v>269</v>
      </c>
      <c r="H31" s="24" t="s">
        <v>269</v>
      </c>
      <c r="I31" s="24" t="s">
        <v>269</v>
      </c>
      <c r="J31" s="24" t="s">
        <v>259</v>
      </c>
    </row>
    <row r="32" spans="1:10" ht="45" x14ac:dyDescent="0.25">
      <c r="A32" s="25" t="s">
        <v>268</v>
      </c>
      <c r="B32" s="24"/>
      <c r="C32" s="24"/>
      <c r="D32" s="24"/>
      <c r="E32" s="24"/>
      <c r="F32" s="25"/>
      <c r="G32" s="25" t="s">
        <v>267</v>
      </c>
      <c r="H32" s="25" t="s">
        <v>266</v>
      </c>
      <c r="I32" s="25" t="s">
        <v>265</v>
      </c>
      <c r="J32" s="24" t="s">
        <v>259</v>
      </c>
    </row>
    <row r="33" spans="1:10" ht="45" x14ac:dyDescent="0.25">
      <c r="A33" s="24" t="s">
        <v>264</v>
      </c>
      <c r="B33" s="24"/>
      <c r="C33" s="24"/>
      <c r="D33" s="24"/>
      <c r="E33" s="24"/>
      <c r="F33" s="25" t="s">
        <v>263</v>
      </c>
      <c r="G33" s="25" t="s">
        <v>262</v>
      </c>
      <c r="H33" s="24" t="s">
        <v>261</v>
      </c>
      <c r="I33" s="24" t="s">
        <v>260</v>
      </c>
      <c r="J33" s="24" t="s">
        <v>259</v>
      </c>
    </row>
    <row r="34" spans="1:10" x14ac:dyDescent="0.25">
      <c r="A34" s="24" t="s">
        <v>258</v>
      </c>
      <c r="B34" s="24"/>
      <c r="C34" s="24"/>
      <c r="D34" s="24"/>
      <c r="E34" s="24"/>
      <c r="F34" s="25"/>
      <c r="G34" s="24" t="s">
        <v>257</v>
      </c>
      <c r="H34" s="24" t="s">
        <v>257</v>
      </c>
      <c r="I34" s="24" t="s">
        <v>257</v>
      </c>
      <c r="J34" s="24"/>
    </row>
    <row r="35" spans="1:10" x14ac:dyDescent="0.25">
      <c r="A35" s="24"/>
      <c r="B35" s="24"/>
      <c r="C35" s="24"/>
      <c r="D35" s="24"/>
      <c r="E35" s="24"/>
      <c r="F35" s="25"/>
      <c r="G35" s="24"/>
      <c r="H35" s="24"/>
      <c r="I35" s="24"/>
      <c r="J35" s="24"/>
    </row>
    <row r="36" spans="1:10" x14ac:dyDescent="0.25">
      <c r="A36" s="24"/>
      <c r="B36" s="24"/>
      <c r="C36" s="24"/>
      <c r="D36" s="24"/>
      <c r="E36" s="24"/>
      <c r="F36" s="25"/>
      <c r="G36" s="24"/>
      <c r="H36" s="24"/>
      <c r="I36" s="24"/>
      <c r="J36" s="24"/>
    </row>
    <row r="37" spans="1:10" x14ac:dyDescent="0.25">
      <c r="A37" s="24"/>
      <c r="B37" s="24"/>
      <c r="C37" s="24"/>
      <c r="D37" s="24"/>
      <c r="E37" s="24"/>
      <c r="F37" s="25"/>
      <c r="G37" s="24"/>
      <c r="H37" s="24"/>
      <c r="I37" s="24"/>
      <c r="J37" s="24"/>
    </row>
    <row r="38" spans="1:10" x14ac:dyDescent="0.25">
      <c r="A38" s="24"/>
      <c r="B38" s="24"/>
      <c r="C38" s="24"/>
      <c r="D38" s="24"/>
      <c r="E38" s="24"/>
      <c r="F38" s="25"/>
      <c r="G38" s="24"/>
      <c r="H38" s="24"/>
      <c r="I38" s="24"/>
      <c r="J38" s="24"/>
    </row>
    <row r="39" spans="1:10" x14ac:dyDescent="0.25">
      <c r="A39" s="24"/>
      <c r="B39" s="24"/>
      <c r="C39" s="24"/>
      <c r="D39" s="24"/>
      <c r="E39" s="24"/>
      <c r="F39" s="25"/>
      <c r="G39" s="24"/>
      <c r="H39" s="24"/>
      <c r="I39" s="24"/>
      <c r="J39" s="24"/>
    </row>
    <row r="40" spans="1:10" x14ac:dyDescent="0.25">
      <c r="A40" s="24"/>
      <c r="B40" s="24"/>
      <c r="C40" s="24"/>
      <c r="D40" s="24"/>
      <c r="E40" s="24"/>
      <c r="F40" s="25"/>
      <c r="G40" s="24"/>
      <c r="H40" s="24"/>
      <c r="I40" s="24"/>
      <c r="J40" s="24"/>
    </row>
    <row r="41" spans="1:10" x14ac:dyDescent="0.25">
      <c r="A41" s="24"/>
      <c r="B41" s="24"/>
      <c r="C41" s="24"/>
      <c r="D41" s="24"/>
      <c r="E41" s="24"/>
      <c r="F41" s="25"/>
      <c r="G41" s="24"/>
      <c r="H41" s="24"/>
      <c r="I41" s="24"/>
      <c r="J41" s="24"/>
    </row>
    <row r="42" spans="1:10" x14ac:dyDescent="0.25">
      <c r="A42" s="24"/>
      <c r="B42" s="24"/>
      <c r="C42" s="24"/>
      <c r="D42" s="24"/>
      <c r="E42" s="24"/>
      <c r="F42" s="25"/>
      <c r="G42" s="24"/>
      <c r="H42" s="24"/>
      <c r="I42" s="24"/>
      <c r="J42" s="24"/>
    </row>
    <row r="43" spans="1:10" x14ac:dyDescent="0.25">
      <c r="A43" s="24"/>
      <c r="B43" s="24"/>
      <c r="C43" s="24"/>
      <c r="D43" s="24"/>
      <c r="E43" s="24"/>
      <c r="F43" s="25"/>
      <c r="G43" s="24"/>
      <c r="H43" s="24"/>
      <c r="I43" s="24"/>
      <c r="J43" s="24"/>
    </row>
    <row r="44" spans="1:10" x14ac:dyDescent="0.25">
      <c r="A44" s="24"/>
      <c r="B44" s="24"/>
      <c r="C44" s="24"/>
      <c r="D44" s="24"/>
      <c r="E44" s="24"/>
      <c r="F44" s="25"/>
      <c r="G44" s="24"/>
      <c r="H44" s="24"/>
      <c r="I44" s="24"/>
      <c r="J44" s="24"/>
    </row>
  </sheetData>
  <mergeCells count="2">
    <mergeCell ref="A2:A10"/>
    <mergeCell ref="A11:A18"/>
  </mergeCells>
  <hyperlinks>
    <hyperlink ref="G33" r:id="rId1" xr:uid="{D8CFA47B-39D4-48AA-9319-C4D1A879E416}"/>
    <hyperlink ref="H2" r:id="rId2" xr:uid="{F40E8FC1-0417-40FC-8499-695788AD87AA}"/>
    <hyperlink ref="I2" r:id="rId3" xr:uid="{3C7D8EDE-9185-4439-83D2-780000922B63}"/>
    <hyperlink ref="G2" r:id="rId4" xr:uid="{B3E7621E-F9CE-45A7-B5A6-61DA39E00F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FC99-F8C5-46BD-AC70-84F37133F7F8}">
  <dimension ref="A1:S101"/>
  <sheetViews>
    <sheetView zoomScale="70" zoomScaleNormal="70" workbookViewId="0">
      <pane xSplit="3" ySplit="4" topLeftCell="D5" activePane="bottomRight" state="frozen"/>
      <selection pane="topRight" activeCell="B1" sqref="B1"/>
      <selection pane="bottomLeft" activeCell="A5" sqref="A5"/>
      <selection pane="bottomRight" activeCell="G13" sqref="G13"/>
    </sheetView>
  </sheetViews>
  <sheetFormatPr defaultRowHeight="15" x14ac:dyDescent="0.25"/>
  <cols>
    <col min="1" max="1" width="8" style="1" customWidth="1"/>
    <col min="2" max="2" width="16" style="1" customWidth="1"/>
    <col min="3" max="3" width="46.7109375" style="11" customWidth="1"/>
    <col min="4" max="4" width="74" style="11" customWidth="1"/>
    <col min="5" max="5" width="39" style="11" customWidth="1"/>
    <col min="6" max="6" width="35.28515625" style="11" hidden="1" customWidth="1"/>
    <col min="7" max="7" width="89.28515625" style="11" customWidth="1"/>
    <col min="8" max="8" width="30.28515625" style="11" customWidth="1"/>
    <col min="9" max="9" width="25.5703125" style="11" customWidth="1"/>
    <col min="10" max="10" width="32.42578125" style="11" customWidth="1"/>
    <col min="11" max="11" width="21" style="11" customWidth="1"/>
    <col min="12" max="12" width="22.7109375" style="11" customWidth="1"/>
    <col min="13" max="13" width="14.28515625" style="1" bestFit="1" customWidth="1"/>
    <col min="14" max="14" width="9.140625" style="1"/>
    <col min="15" max="15" width="9.140625" style="62"/>
    <col min="16" max="16384" width="9.140625" style="1"/>
  </cols>
  <sheetData>
    <row r="1" spans="1:19" x14ac:dyDescent="0.25">
      <c r="A1" s="4"/>
      <c r="B1" s="4"/>
      <c r="C1" s="4"/>
      <c r="D1" s="4"/>
      <c r="E1" s="4"/>
      <c r="F1" s="4"/>
      <c r="G1" s="4"/>
      <c r="H1" s="4"/>
      <c r="I1" s="4" t="s">
        <v>143</v>
      </c>
      <c r="J1" s="4" t="s">
        <v>144</v>
      </c>
      <c r="K1" s="4" t="s">
        <v>145</v>
      </c>
      <c r="L1" s="4" t="s">
        <v>146</v>
      </c>
    </row>
    <row r="2" spans="1:19" s="71" customFormat="1" hidden="1" x14ac:dyDescent="0.25">
      <c r="A2" s="5" t="s">
        <v>0</v>
      </c>
      <c r="B2" s="5" t="s">
        <v>509</v>
      </c>
      <c r="C2" s="5" t="s">
        <v>147</v>
      </c>
      <c r="D2" s="5" t="s">
        <v>417</v>
      </c>
      <c r="E2" s="5" t="s">
        <v>148</v>
      </c>
      <c r="F2" s="5" t="s">
        <v>149</v>
      </c>
      <c r="G2" s="5" t="s">
        <v>150</v>
      </c>
      <c r="H2" s="5" t="s">
        <v>151</v>
      </c>
      <c r="I2" s="5" t="s">
        <v>152</v>
      </c>
      <c r="J2" s="5" t="s">
        <v>153</v>
      </c>
      <c r="K2" s="5" t="s">
        <v>154</v>
      </c>
      <c r="L2" s="5" t="s">
        <v>155</v>
      </c>
      <c r="O2" s="6"/>
    </row>
    <row r="3" spans="1:19" s="71" customFormat="1" ht="45" hidden="1" x14ac:dyDescent="0.25">
      <c r="A3" s="5" t="s">
        <v>156</v>
      </c>
      <c r="B3" s="5"/>
      <c r="C3" s="5" t="s">
        <v>157</v>
      </c>
      <c r="D3" s="5" t="s">
        <v>418</v>
      </c>
      <c r="E3" s="5" t="s">
        <v>158</v>
      </c>
      <c r="F3" s="5" t="s">
        <v>159</v>
      </c>
      <c r="G3" s="5" t="s">
        <v>160</v>
      </c>
      <c r="H3" s="5" t="s">
        <v>161</v>
      </c>
      <c r="I3" s="5" t="s">
        <v>162</v>
      </c>
      <c r="J3" s="5" t="s">
        <v>163</v>
      </c>
      <c r="K3" s="5" t="s">
        <v>164</v>
      </c>
      <c r="L3" s="5" t="s">
        <v>165</v>
      </c>
      <c r="O3" s="6"/>
    </row>
    <row r="4" spans="1:19" ht="75" x14ac:dyDescent="0.25">
      <c r="A4" s="7" t="str">
        <f>A2 &amp; CHAR(10) &amp; REPT("–",8) &amp; CHAR(10) &amp; A3</f>
        <v>No.
––––––––
Auto Increase</v>
      </c>
      <c r="B4" s="7" t="str">
        <f>B2 &amp; CHAR(10) &amp; REPT("–",8) &amp; CHAR(10) &amp; B3</f>
        <v xml:space="preserve">Stage
––––––––
</v>
      </c>
      <c r="C4" s="7" t="str">
        <f t="shared" ref="C4:L4" si="0">C2 &amp; CHAR(10) &amp; REPT("–",10) &amp; CHAR(10) &amp; C3</f>
        <v>Step
––––––––––
Step Name</v>
      </c>
      <c r="D4" s="7" t="str">
        <f t="shared" si="0"/>
        <v>Description
––––––––––
What/Why</v>
      </c>
      <c r="E4" s="7" t="str">
        <f t="shared" si="0"/>
        <v>Deliverables
––––––––––
Output (files, …)</v>
      </c>
      <c r="F4" s="7" t="str">
        <f t="shared" si="0"/>
        <v>Deliverables Components (What)
––––––––––
Details Component inside the output</v>
      </c>
      <c r="G4" s="7" t="str">
        <f t="shared" si="0"/>
        <v>Rules
––––––––––
When/How</v>
      </c>
      <c r="H4" s="7" t="str">
        <f t="shared" si="0"/>
        <v>Input
––––––––––
Input documents that help perform this step</v>
      </c>
      <c r="I4" s="7" t="str">
        <f t="shared" si="0"/>
        <v>Responsible 
––––––––––
The person who performs the task directly</v>
      </c>
      <c r="J4" s="7" t="str">
        <f t="shared" si="0"/>
        <v>Accountable
––––––––––
The person ultimately responsible, who makes decisions and owns the outcome</v>
      </c>
      <c r="K4" s="7" t="str">
        <f t="shared" si="0"/>
        <v>Consulted
––––––––––
The person with expertise who is consulted for input</v>
      </c>
      <c r="L4" s="7" t="str">
        <f t="shared" si="0"/>
        <v>Informed
––––––––––
The person who needs to be kept updated on progress and results</v>
      </c>
      <c r="M4" s="63" t="s">
        <v>411</v>
      </c>
      <c r="N4" s="1" t="s">
        <v>565</v>
      </c>
    </row>
    <row r="5" spans="1:19" ht="45" x14ac:dyDescent="0.25">
      <c r="A5" s="8">
        <f>IF(C4&lt;&gt;"", IF(ISNUMBER(A4), A4+1, 1), "")</f>
        <v>1</v>
      </c>
      <c r="B5" s="8" t="s">
        <v>510</v>
      </c>
      <c r="C5" s="9" t="s">
        <v>554</v>
      </c>
      <c r="D5" s="56" t="s">
        <v>507</v>
      </c>
      <c r="E5" s="9" t="s">
        <v>381</v>
      </c>
      <c r="F5" s="9"/>
      <c r="G5" s="9" t="s">
        <v>379</v>
      </c>
      <c r="H5" s="9" t="s">
        <v>380</v>
      </c>
      <c r="I5" s="9" t="s">
        <v>168</v>
      </c>
      <c r="J5" s="9" t="s">
        <v>167</v>
      </c>
      <c r="K5" s="9" t="s">
        <v>91</v>
      </c>
      <c r="L5" s="9" t="s">
        <v>171</v>
      </c>
      <c r="M5" s="50" t="s">
        <v>412</v>
      </c>
      <c r="R5" s="1">
        <f>SUMIF(O13:O49,S5,N13:N49)</f>
        <v>7</v>
      </c>
      <c r="S5" s="62" t="s">
        <v>567</v>
      </c>
    </row>
    <row r="6" spans="1:19" ht="29.25" customHeight="1" x14ac:dyDescent="0.25">
      <c r="A6" s="8">
        <f t="shared" ref="A6:A69" si="1">IF(C5&lt;&gt;"", IF(ISNUMBER(A5), A5+1, 1), "")</f>
        <v>2</v>
      </c>
      <c r="B6" s="8" t="s">
        <v>510</v>
      </c>
      <c r="C6" s="9" t="s">
        <v>383</v>
      </c>
      <c r="D6" s="57"/>
      <c r="E6" s="9" t="s">
        <v>377</v>
      </c>
      <c r="F6" s="9"/>
      <c r="G6" s="9" t="s">
        <v>378</v>
      </c>
      <c r="H6" s="9" t="s">
        <v>173</v>
      </c>
      <c r="I6" s="9" t="s">
        <v>168</v>
      </c>
      <c r="J6" s="9" t="s">
        <v>167</v>
      </c>
      <c r="K6" s="9" t="s">
        <v>91</v>
      </c>
      <c r="L6" s="9" t="s">
        <v>171</v>
      </c>
      <c r="M6" s="50" t="s">
        <v>412</v>
      </c>
      <c r="R6" s="1">
        <f>SUMIF(O14:O50,S6,N14:N50)</f>
        <v>16</v>
      </c>
      <c r="S6" s="62" t="s">
        <v>568</v>
      </c>
    </row>
    <row r="7" spans="1:19" ht="30" x14ac:dyDescent="0.25">
      <c r="A7" s="8">
        <f>IF(C11&lt;&gt;"", IF(ISNUMBER(A11), A11+1, 1), "")</f>
        <v>1</v>
      </c>
      <c r="B7" s="8" t="s">
        <v>510</v>
      </c>
      <c r="C7" s="41" t="s">
        <v>500</v>
      </c>
      <c r="D7" s="57"/>
      <c r="E7" s="9" t="s">
        <v>502</v>
      </c>
      <c r="F7" s="9"/>
      <c r="G7" s="9" t="s">
        <v>501</v>
      </c>
      <c r="H7" s="9"/>
      <c r="I7" s="9" t="s">
        <v>168</v>
      </c>
      <c r="J7" s="9" t="s">
        <v>167</v>
      </c>
      <c r="K7" s="9" t="s">
        <v>91</v>
      </c>
      <c r="L7" s="9" t="s">
        <v>171</v>
      </c>
      <c r="M7" s="51" t="s">
        <v>412</v>
      </c>
    </row>
    <row r="8" spans="1:19" x14ac:dyDescent="0.25">
      <c r="A8" s="8">
        <f t="shared" si="1"/>
        <v>2</v>
      </c>
      <c r="B8" s="8" t="s">
        <v>510</v>
      </c>
      <c r="C8" s="9" t="s">
        <v>506</v>
      </c>
      <c r="D8" s="58"/>
      <c r="E8" s="9" t="s">
        <v>499</v>
      </c>
      <c r="F8" s="9"/>
      <c r="G8" s="9" t="s">
        <v>172</v>
      </c>
      <c r="H8" s="9" t="s">
        <v>173</v>
      </c>
      <c r="I8" s="9" t="s">
        <v>168</v>
      </c>
      <c r="J8" s="9" t="s">
        <v>167</v>
      </c>
      <c r="K8" s="9" t="s">
        <v>91</v>
      </c>
      <c r="L8" s="9" t="s">
        <v>171</v>
      </c>
      <c r="M8" s="51" t="s">
        <v>412</v>
      </c>
    </row>
    <row r="9" spans="1:19" ht="14.25" customHeight="1" x14ac:dyDescent="0.25">
      <c r="A9" s="8">
        <f>IF(C12&lt;&gt;"", IF(ISNUMBER(A12), A12+1, 1), "")</f>
        <v>4</v>
      </c>
      <c r="B9" s="8" t="s">
        <v>510</v>
      </c>
      <c r="C9" s="9" t="s">
        <v>405</v>
      </c>
      <c r="D9" s="55" t="s">
        <v>419</v>
      </c>
      <c r="E9" s="9" t="s">
        <v>397</v>
      </c>
      <c r="F9" s="9"/>
      <c r="G9" s="9" t="s">
        <v>373</v>
      </c>
      <c r="H9" s="9" t="s">
        <v>173</v>
      </c>
      <c r="I9" s="9" t="s">
        <v>168</v>
      </c>
      <c r="J9" s="9" t="s">
        <v>167</v>
      </c>
      <c r="K9" s="9" t="s">
        <v>91</v>
      </c>
      <c r="L9" s="9" t="s">
        <v>171</v>
      </c>
      <c r="M9" s="51" t="s">
        <v>412</v>
      </c>
    </row>
    <row r="10" spans="1:19" x14ac:dyDescent="0.25">
      <c r="A10" s="8">
        <f t="shared" si="1"/>
        <v>5</v>
      </c>
      <c r="B10" s="8" t="s">
        <v>510</v>
      </c>
      <c r="C10" s="9" t="s">
        <v>406</v>
      </c>
      <c r="D10" s="55"/>
      <c r="E10" s="9" t="s">
        <v>397</v>
      </c>
      <c r="F10" s="9"/>
      <c r="G10" s="9" t="s">
        <v>374</v>
      </c>
      <c r="H10" s="9" t="s">
        <v>173</v>
      </c>
      <c r="I10" s="9" t="s">
        <v>171</v>
      </c>
      <c r="J10" s="9" t="s">
        <v>167</v>
      </c>
      <c r="K10" s="9" t="s">
        <v>91</v>
      </c>
      <c r="L10" s="9" t="s">
        <v>168</v>
      </c>
      <c r="M10" s="51" t="s">
        <v>412</v>
      </c>
    </row>
    <row r="11" spans="1:19" ht="45" x14ac:dyDescent="0.25">
      <c r="A11" s="8" t="s">
        <v>441</v>
      </c>
      <c r="B11" s="8" t="s">
        <v>510</v>
      </c>
      <c r="C11" s="9" t="s">
        <v>382</v>
      </c>
      <c r="D11" s="11" t="s">
        <v>569</v>
      </c>
      <c r="E11" s="9" t="s">
        <v>169</v>
      </c>
      <c r="F11" s="9"/>
      <c r="G11" s="9" t="s">
        <v>170</v>
      </c>
      <c r="H11" s="9" t="s">
        <v>377</v>
      </c>
      <c r="I11" s="9" t="s">
        <v>171</v>
      </c>
      <c r="J11" s="9" t="s">
        <v>167</v>
      </c>
      <c r="K11" s="9" t="s">
        <v>91</v>
      </c>
      <c r="L11" s="9" t="s">
        <v>168</v>
      </c>
      <c r="M11" s="50" t="s">
        <v>412</v>
      </c>
    </row>
    <row r="12" spans="1:19" ht="30" customHeight="1" x14ac:dyDescent="0.25">
      <c r="A12" s="8">
        <f>IF(C8&lt;&gt;"", IF(ISNUMBER(A8), A8+1, 1), "")</f>
        <v>3</v>
      </c>
      <c r="B12" s="8" t="s">
        <v>510</v>
      </c>
      <c r="C12" s="9" t="s">
        <v>384</v>
      </c>
      <c r="D12" s="57" t="s">
        <v>507</v>
      </c>
      <c r="E12" s="9" t="s">
        <v>174</v>
      </c>
      <c r="F12" s="9"/>
      <c r="G12" s="9" t="s">
        <v>175</v>
      </c>
      <c r="H12" s="9" t="s">
        <v>173</v>
      </c>
      <c r="I12" s="9" t="s">
        <v>171</v>
      </c>
      <c r="J12" s="9" t="s">
        <v>167</v>
      </c>
      <c r="K12" s="9" t="s">
        <v>91</v>
      </c>
      <c r="L12" s="9" t="s">
        <v>168</v>
      </c>
      <c r="M12" s="51" t="s">
        <v>412</v>
      </c>
    </row>
    <row r="13" spans="1:19" ht="30" x14ac:dyDescent="0.25">
      <c r="A13" s="8">
        <f>IF(C10&lt;&gt;"", IF(ISNUMBER(A10), A10+1, 1), "")</f>
        <v>6</v>
      </c>
      <c r="B13" s="8" t="s">
        <v>510</v>
      </c>
      <c r="C13" s="9" t="s">
        <v>415</v>
      </c>
      <c r="D13" s="58"/>
      <c r="E13" s="9" t="s">
        <v>416</v>
      </c>
      <c r="F13" s="9"/>
      <c r="G13" s="9" t="s">
        <v>414</v>
      </c>
      <c r="H13" s="9" t="s">
        <v>397</v>
      </c>
      <c r="I13" s="9" t="s">
        <v>91</v>
      </c>
      <c r="J13" s="9" t="s">
        <v>167</v>
      </c>
      <c r="K13" s="9" t="s">
        <v>168</v>
      </c>
      <c r="L13" s="9" t="s">
        <v>171</v>
      </c>
      <c r="M13" s="51" t="s">
        <v>413</v>
      </c>
      <c r="N13" s="71" t="s">
        <v>566</v>
      </c>
    </row>
    <row r="14" spans="1:19" ht="60" x14ac:dyDescent="0.25">
      <c r="A14" s="8">
        <f t="shared" si="1"/>
        <v>7</v>
      </c>
      <c r="B14" s="8" t="s">
        <v>510</v>
      </c>
      <c r="C14" s="9" t="s">
        <v>385</v>
      </c>
      <c r="D14" s="9" t="s">
        <v>420</v>
      </c>
      <c r="E14" s="9" t="s">
        <v>178</v>
      </c>
      <c r="F14" s="9"/>
      <c r="G14" s="9" t="s">
        <v>508</v>
      </c>
      <c r="H14" s="9" t="s">
        <v>173</v>
      </c>
      <c r="I14" s="9" t="s">
        <v>168</v>
      </c>
      <c r="J14" s="9" t="s">
        <v>167</v>
      </c>
      <c r="K14" s="9" t="s">
        <v>91</v>
      </c>
      <c r="L14" s="9" t="s">
        <v>171</v>
      </c>
      <c r="M14" s="51" t="s">
        <v>413</v>
      </c>
      <c r="N14" s="71">
        <v>1</v>
      </c>
    </row>
    <row r="15" spans="1:19" ht="45" x14ac:dyDescent="0.25">
      <c r="A15" s="8">
        <f t="shared" si="1"/>
        <v>8</v>
      </c>
      <c r="B15" s="8" t="s">
        <v>510</v>
      </c>
      <c r="C15" s="9" t="s">
        <v>386</v>
      </c>
      <c r="D15" s="9" t="s">
        <v>422</v>
      </c>
      <c r="E15" s="9" t="s">
        <v>180</v>
      </c>
      <c r="F15" s="9"/>
      <c r="G15" s="9" t="s">
        <v>421</v>
      </c>
      <c r="H15" s="9" t="s">
        <v>173</v>
      </c>
      <c r="I15" s="9" t="s">
        <v>168</v>
      </c>
      <c r="J15" s="9" t="s">
        <v>167</v>
      </c>
      <c r="K15" s="9" t="s">
        <v>91</v>
      </c>
      <c r="L15" s="9" t="s">
        <v>171</v>
      </c>
      <c r="M15" s="51" t="s">
        <v>413</v>
      </c>
      <c r="N15" s="71">
        <v>2</v>
      </c>
    </row>
    <row r="16" spans="1:19" ht="30" x14ac:dyDescent="0.25">
      <c r="A16" s="8">
        <f t="shared" si="1"/>
        <v>9</v>
      </c>
      <c r="B16" s="8" t="s">
        <v>510</v>
      </c>
      <c r="C16" s="9" t="s">
        <v>387</v>
      </c>
      <c r="D16" s="9" t="s">
        <v>423</v>
      </c>
      <c r="E16" s="9" t="s">
        <v>178</v>
      </c>
      <c r="F16" s="9"/>
      <c r="G16" s="9" t="s">
        <v>424</v>
      </c>
      <c r="H16" s="9" t="s">
        <v>369</v>
      </c>
      <c r="I16" s="9" t="s">
        <v>168</v>
      </c>
      <c r="J16" s="9" t="s">
        <v>167</v>
      </c>
      <c r="K16" s="9" t="s">
        <v>91</v>
      </c>
      <c r="L16" s="9" t="s">
        <v>171</v>
      </c>
      <c r="M16" s="51" t="s">
        <v>413</v>
      </c>
      <c r="N16" s="71">
        <v>2</v>
      </c>
    </row>
    <row r="17" spans="1:15" ht="45" x14ac:dyDescent="0.25">
      <c r="A17" s="8">
        <f t="shared" si="1"/>
        <v>10</v>
      </c>
      <c r="B17" s="8" t="s">
        <v>510</v>
      </c>
      <c r="C17" s="9" t="s">
        <v>388</v>
      </c>
      <c r="D17" s="9" t="s">
        <v>426</v>
      </c>
      <c r="E17" s="9" t="s">
        <v>178</v>
      </c>
      <c r="F17" s="9"/>
      <c r="G17" s="9" t="s">
        <v>425</v>
      </c>
      <c r="H17" s="9" t="s">
        <v>173</v>
      </c>
      <c r="I17" s="9" t="s">
        <v>168</v>
      </c>
      <c r="J17" s="9" t="s">
        <v>167</v>
      </c>
      <c r="K17" s="9" t="s">
        <v>91</v>
      </c>
      <c r="L17" s="9" t="s">
        <v>171</v>
      </c>
      <c r="M17" s="51" t="s">
        <v>413</v>
      </c>
      <c r="N17" s="71">
        <v>2</v>
      </c>
    </row>
    <row r="18" spans="1:15" ht="45" x14ac:dyDescent="0.25">
      <c r="A18" s="8">
        <f t="shared" si="1"/>
        <v>11</v>
      </c>
      <c r="B18" s="8" t="s">
        <v>510</v>
      </c>
      <c r="C18" s="9" t="s">
        <v>182</v>
      </c>
      <c r="D18" s="9" t="s">
        <v>427</v>
      </c>
      <c r="E18" s="9" t="s">
        <v>178</v>
      </c>
      <c r="F18" s="9"/>
      <c r="G18" s="9" t="s">
        <v>375</v>
      </c>
      <c r="H18" s="9" t="s">
        <v>173</v>
      </c>
      <c r="I18" s="9" t="s">
        <v>168</v>
      </c>
      <c r="J18" s="9" t="s">
        <v>167</v>
      </c>
      <c r="K18" s="9" t="s">
        <v>91</v>
      </c>
      <c r="L18" s="9" t="s">
        <v>171</v>
      </c>
      <c r="M18" s="51" t="s">
        <v>413</v>
      </c>
      <c r="N18" s="71">
        <v>2</v>
      </c>
    </row>
    <row r="19" spans="1:15" ht="30" x14ac:dyDescent="0.25">
      <c r="A19" s="8">
        <f t="shared" si="1"/>
        <v>12</v>
      </c>
      <c r="B19" s="8" t="s">
        <v>510</v>
      </c>
      <c r="C19" s="9" t="s">
        <v>398</v>
      </c>
      <c r="D19" s="9" t="s">
        <v>431</v>
      </c>
      <c r="E19" s="9" t="s">
        <v>190</v>
      </c>
      <c r="F19" s="9"/>
      <c r="G19" s="9" t="s">
        <v>498</v>
      </c>
      <c r="H19" s="9" t="s">
        <v>173</v>
      </c>
      <c r="I19" s="9" t="s">
        <v>171</v>
      </c>
      <c r="J19" s="9" t="s">
        <v>167</v>
      </c>
      <c r="K19" s="9" t="s">
        <v>91</v>
      </c>
      <c r="L19" s="9" t="s">
        <v>168</v>
      </c>
      <c r="M19" s="50" t="s">
        <v>412</v>
      </c>
      <c r="N19" s="71">
        <v>2</v>
      </c>
      <c r="O19" s="62" t="s">
        <v>568</v>
      </c>
    </row>
    <row r="20" spans="1:15" ht="30" x14ac:dyDescent="0.25">
      <c r="A20" s="8">
        <f t="shared" si="1"/>
        <v>13</v>
      </c>
      <c r="B20" s="8" t="s">
        <v>510</v>
      </c>
      <c r="C20" s="9" t="s">
        <v>399</v>
      </c>
      <c r="D20" s="9" t="s">
        <v>432</v>
      </c>
      <c r="E20" s="9" t="s">
        <v>401</v>
      </c>
      <c r="F20" s="9"/>
      <c r="G20" s="9" t="s">
        <v>376</v>
      </c>
      <c r="H20" s="9" t="s">
        <v>173</v>
      </c>
      <c r="I20" s="9" t="s">
        <v>91</v>
      </c>
      <c r="J20" s="9" t="s">
        <v>167</v>
      </c>
      <c r="K20" s="9" t="s">
        <v>168</v>
      </c>
      <c r="L20" s="9" t="s">
        <v>171</v>
      </c>
      <c r="M20" s="50" t="s">
        <v>412</v>
      </c>
      <c r="N20" s="71"/>
    </row>
    <row r="21" spans="1:15" ht="30" x14ac:dyDescent="0.25">
      <c r="A21" s="8">
        <f t="shared" si="1"/>
        <v>14</v>
      </c>
      <c r="B21" s="8" t="s">
        <v>510</v>
      </c>
      <c r="C21" s="9" t="s">
        <v>400</v>
      </c>
      <c r="D21" s="9" t="s">
        <v>433</v>
      </c>
      <c r="E21" s="9" t="s">
        <v>401</v>
      </c>
      <c r="F21" s="9"/>
      <c r="G21" s="9" t="s">
        <v>402</v>
      </c>
      <c r="H21" s="9" t="s">
        <v>173</v>
      </c>
      <c r="I21" s="9" t="s">
        <v>171</v>
      </c>
      <c r="J21" s="9" t="s">
        <v>167</v>
      </c>
      <c r="K21" s="9" t="s">
        <v>91</v>
      </c>
      <c r="L21" s="9" t="s">
        <v>168</v>
      </c>
      <c r="M21" s="50" t="s">
        <v>412</v>
      </c>
      <c r="N21" s="71"/>
    </row>
    <row r="22" spans="1:15" ht="60" x14ac:dyDescent="0.25">
      <c r="A22" s="8">
        <f t="shared" si="1"/>
        <v>15</v>
      </c>
      <c r="B22" s="8" t="s">
        <v>23</v>
      </c>
      <c r="C22" s="9" t="s">
        <v>503</v>
      </c>
      <c r="D22" s="9" t="s">
        <v>505</v>
      </c>
      <c r="E22" s="9" t="s">
        <v>34</v>
      </c>
      <c r="F22" s="9"/>
      <c r="G22" s="9" t="s">
        <v>504</v>
      </c>
      <c r="H22" s="9" t="s">
        <v>173</v>
      </c>
      <c r="I22" s="9" t="s">
        <v>168</v>
      </c>
      <c r="J22" s="9" t="s">
        <v>167</v>
      </c>
      <c r="K22" s="9" t="s">
        <v>91</v>
      </c>
      <c r="L22" s="9" t="s">
        <v>171</v>
      </c>
      <c r="M22" s="50" t="s">
        <v>412</v>
      </c>
      <c r="N22" s="71">
        <v>2</v>
      </c>
    </row>
    <row r="23" spans="1:15" x14ac:dyDescent="0.25">
      <c r="A23" s="8">
        <f t="shared" si="1"/>
        <v>16</v>
      </c>
      <c r="B23" s="8" t="s">
        <v>23</v>
      </c>
      <c r="C23" s="72" t="s">
        <v>551</v>
      </c>
      <c r="D23" s="11" t="s">
        <v>476</v>
      </c>
      <c r="E23" s="49" t="s">
        <v>35</v>
      </c>
      <c r="F23" s="49"/>
      <c r="G23" s="49" t="s">
        <v>192</v>
      </c>
      <c r="H23" s="9" t="s">
        <v>193</v>
      </c>
      <c r="I23" s="9" t="s">
        <v>168</v>
      </c>
      <c r="J23" s="9" t="s">
        <v>167</v>
      </c>
      <c r="K23" s="9" t="s">
        <v>91</v>
      </c>
      <c r="L23" s="9" t="s">
        <v>171</v>
      </c>
      <c r="M23" s="51" t="s">
        <v>412</v>
      </c>
      <c r="N23" s="71"/>
    </row>
    <row r="24" spans="1:15" ht="30" x14ac:dyDescent="0.25">
      <c r="A24" s="8">
        <f t="shared" si="1"/>
        <v>17</v>
      </c>
      <c r="B24" s="8" t="s">
        <v>23</v>
      </c>
      <c r="C24" s="9" t="s">
        <v>390</v>
      </c>
      <c r="D24" s="9" t="s">
        <v>428</v>
      </c>
      <c r="E24" s="9" t="s">
        <v>183</v>
      </c>
      <c r="F24" s="9"/>
      <c r="G24" s="9" t="s">
        <v>184</v>
      </c>
      <c r="H24" s="9" t="s">
        <v>185</v>
      </c>
      <c r="I24" s="9" t="s">
        <v>171</v>
      </c>
      <c r="J24" s="9" t="s">
        <v>167</v>
      </c>
      <c r="K24" s="9" t="s">
        <v>91</v>
      </c>
      <c r="L24" s="9" t="s">
        <v>168</v>
      </c>
      <c r="M24" s="51" t="s">
        <v>412</v>
      </c>
      <c r="N24" s="71"/>
    </row>
    <row r="25" spans="1:15" ht="90" x14ac:dyDescent="0.25">
      <c r="A25" s="8">
        <f t="shared" si="1"/>
        <v>18</v>
      </c>
      <c r="B25" s="8" t="s">
        <v>23</v>
      </c>
      <c r="C25" s="9" t="s">
        <v>550</v>
      </c>
      <c r="D25" s="9" t="s">
        <v>429</v>
      </c>
      <c r="E25" s="9" t="s">
        <v>187</v>
      </c>
      <c r="F25" s="9"/>
      <c r="G25" s="9" t="s">
        <v>494</v>
      </c>
      <c r="H25" s="9" t="s">
        <v>430</v>
      </c>
      <c r="I25" s="9" t="s">
        <v>171</v>
      </c>
      <c r="J25" s="9" t="s">
        <v>167</v>
      </c>
      <c r="K25" s="9" t="s">
        <v>91</v>
      </c>
      <c r="L25" s="9" t="s">
        <v>168</v>
      </c>
      <c r="M25" s="51" t="s">
        <v>412</v>
      </c>
      <c r="N25" s="71" t="s">
        <v>566</v>
      </c>
      <c r="O25" s="62" t="s">
        <v>568</v>
      </c>
    </row>
    <row r="26" spans="1:15" ht="30" x14ac:dyDescent="0.25">
      <c r="A26" s="8">
        <f t="shared" si="1"/>
        <v>19</v>
      </c>
      <c r="B26" s="8" t="s">
        <v>23</v>
      </c>
      <c r="C26" s="9" t="s">
        <v>393</v>
      </c>
      <c r="D26" s="63" t="s">
        <v>474</v>
      </c>
      <c r="E26" s="9" t="s">
        <v>371</v>
      </c>
      <c r="F26" s="9"/>
      <c r="G26" s="9" t="s">
        <v>493</v>
      </c>
      <c r="H26" s="9" t="s">
        <v>372</v>
      </c>
      <c r="I26" s="9" t="s">
        <v>171</v>
      </c>
      <c r="J26" s="9" t="s">
        <v>167</v>
      </c>
      <c r="K26" s="9" t="s">
        <v>91</v>
      </c>
      <c r="L26" s="9" t="s">
        <v>168</v>
      </c>
      <c r="M26" s="51" t="s">
        <v>412</v>
      </c>
      <c r="N26" s="71">
        <v>2</v>
      </c>
    </row>
    <row r="27" spans="1:15" ht="45" x14ac:dyDescent="0.25">
      <c r="A27" s="8">
        <f t="shared" si="1"/>
        <v>20</v>
      </c>
      <c r="B27" s="8" t="s">
        <v>23</v>
      </c>
      <c r="C27" s="9" t="s">
        <v>392</v>
      </c>
      <c r="D27" s="9" t="s">
        <v>475</v>
      </c>
      <c r="E27" s="9" t="s">
        <v>195</v>
      </c>
      <c r="F27" s="9"/>
      <c r="G27" s="9" t="s">
        <v>492</v>
      </c>
      <c r="H27" s="9" t="s">
        <v>173</v>
      </c>
      <c r="I27" s="9" t="s">
        <v>91</v>
      </c>
      <c r="J27" s="9" t="s">
        <v>167</v>
      </c>
      <c r="K27" s="9" t="s">
        <v>91</v>
      </c>
      <c r="L27" s="9" t="s">
        <v>168</v>
      </c>
      <c r="M27" s="51" t="s">
        <v>412</v>
      </c>
      <c r="N27" s="71">
        <v>2</v>
      </c>
      <c r="O27" s="62" t="s">
        <v>567</v>
      </c>
    </row>
    <row r="28" spans="1:15" ht="30" x14ac:dyDescent="0.25">
      <c r="A28" s="8">
        <f t="shared" si="1"/>
        <v>21</v>
      </c>
      <c r="B28" s="8" t="s">
        <v>518</v>
      </c>
      <c r="C28" s="9" t="s">
        <v>553</v>
      </c>
      <c r="D28" s="9" t="s">
        <v>477</v>
      </c>
      <c r="E28" s="9" t="s">
        <v>197</v>
      </c>
      <c r="F28" s="9"/>
      <c r="G28" s="9" t="s">
        <v>495</v>
      </c>
      <c r="H28" s="9" t="s">
        <v>188</v>
      </c>
      <c r="I28" s="9" t="s">
        <v>171</v>
      </c>
      <c r="J28" s="9" t="s">
        <v>167</v>
      </c>
      <c r="K28" s="9" t="s">
        <v>91</v>
      </c>
      <c r="L28" s="9" t="s">
        <v>168</v>
      </c>
      <c r="M28" s="51" t="s">
        <v>413</v>
      </c>
      <c r="N28" s="71">
        <v>1</v>
      </c>
      <c r="O28" s="62" t="s">
        <v>568</v>
      </c>
    </row>
    <row r="29" spans="1:15" ht="45" x14ac:dyDescent="0.25">
      <c r="A29" s="8">
        <f t="shared" si="1"/>
        <v>22</v>
      </c>
      <c r="B29" s="8" t="s">
        <v>518</v>
      </c>
      <c r="C29" s="9" t="s">
        <v>394</v>
      </c>
      <c r="D29" s="9" t="s">
        <v>478</v>
      </c>
      <c r="E29" s="9" t="s">
        <v>199</v>
      </c>
      <c r="F29" s="9"/>
      <c r="G29" s="9" t="s">
        <v>496</v>
      </c>
      <c r="H29" s="9" t="s">
        <v>200</v>
      </c>
      <c r="I29" s="9" t="s">
        <v>171</v>
      </c>
      <c r="J29" s="9" t="s">
        <v>167</v>
      </c>
      <c r="K29" s="9" t="s">
        <v>91</v>
      </c>
      <c r="L29" s="9" t="s">
        <v>168</v>
      </c>
      <c r="M29" s="51" t="s">
        <v>413</v>
      </c>
      <c r="N29" s="71">
        <v>1</v>
      </c>
      <c r="O29" s="62" t="s">
        <v>568</v>
      </c>
    </row>
    <row r="30" spans="1:15" ht="30" x14ac:dyDescent="0.25">
      <c r="A30" s="8">
        <f t="shared" si="1"/>
        <v>23</v>
      </c>
      <c r="B30" s="8" t="s">
        <v>518</v>
      </c>
      <c r="C30" s="9" t="s">
        <v>555</v>
      </c>
      <c r="D30" s="52" t="s">
        <v>434</v>
      </c>
      <c r="E30" s="9" t="s">
        <v>404</v>
      </c>
      <c r="F30" s="9"/>
      <c r="G30" s="9" t="s">
        <v>497</v>
      </c>
      <c r="H30" s="9" t="s">
        <v>410</v>
      </c>
      <c r="I30" s="9" t="s">
        <v>171</v>
      </c>
      <c r="J30" s="9" t="s">
        <v>167</v>
      </c>
      <c r="K30" s="9" t="s">
        <v>91</v>
      </c>
      <c r="L30" s="9" t="s">
        <v>168</v>
      </c>
      <c r="M30" s="51" t="s">
        <v>413</v>
      </c>
      <c r="N30" s="71">
        <v>1</v>
      </c>
      <c r="O30" s="62" t="s">
        <v>568</v>
      </c>
    </row>
    <row r="31" spans="1:15" ht="30" x14ac:dyDescent="0.25">
      <c r="A31" s="8">
        <f t="shared" si="1"/>
        <v>24</v>
      </c>
      <c r="B31" s="8" t="s">
        <v>518</v>
      </c>
      <c r="C31" s="9" t="s">
        <v>556</v>
      </c>
      <c r="D31" s="11" t="s">
        <v>479</v>
      </c>
      <c r="E31" s="9" t="s">
        <v>408</v>
      </c>
      <c r="F31" s="9"/>
      <c r="G31" s="9" t="s">
        <v>491</v>
      </c>
      <c r="H31" s="9" t="s">
        <v>201</v>
      </c>
      <c r="I31" s="9" t="s">
        <v>91</v>
      </c>
      <c r="J31" s="9" t="s">
        <v>167</v>
      </c>
      <c r="K31" s="9" t="s">
        <v>168</v>
      </c>
      <c r="L31" s="9" t="s">
        <v>171</v>
      </c>
      <c r="M31" s="51" t="s">
        <v>413</v>
      </c>
      <c r="N31" s="71">
        <v>2</v>
      </c>
      <c r="O31" s="62" t="s">
        <v>567</v>
      </c>
    </row>
    <row r="32" spans="1:15" x14ac:dyDescent="0.25">
      <c r="A32" s="8">
        <f t="shared" si="1"/>
        <v>25</v>
      </c>
      <c r="B32" s="8" t="s">
        <v>518</v>
      </c>
      <c r="C32" s="9" t="s">
        <v>557</v>
      </c>
      <c r="D32" s="9" t="s">
        <v>480</v>
      </c>
      <c r="E32" s="9" t="s">
        <v>409</v>
      </c>
      <c r="F32" s="9"/>
      <c r="G32" s="9" t="s">
        <v>407</v>
      </c>
      <c r="H32" s="9"/>
      <c r="I32" s="9" t="s">
        <v>171</v>
      </c>
      <c r="J32" s="9" t="s">
        <v>167</v>
      </c>
      <c r="K32" s="9" t="s">
        <v>91</v>
      </c>
      <c r="L32" s="9" t="s">
        <v>168</v>
      </c>
      <c r="M32" s="51" t="s">
        <v>413</v>
      </c>
      <c r="N32" s="71">
        <v>1</v>
      </c>
      <c r="O32" s="62" t="s">
        <v>567</v>
      </c>
    </row>
    <row r="33" spans="1:15" ht="75" x14ac:dyDescent="0.25">
      <c r="A33" s="8">
        <f t="shared" si="1"/>
        <v>26</v>
      </c>
      <c r="B33" s="8" t="s">
        <v>518</v>
      </c>
      <c r="C33" s="73" t="s">
        <v>552</v>
      </c>
      <c r="D33" s="9" t="s">
        <v>487</v>
      </c>
      <c r="E33" s="70" t="s">
        <v>486</v>
      </c>
      <c r="F33" s="9"/>
      <c r="G33" s="9" t="s">
        <v>514</v>
      </c>
      <c r="H33" s="9" t="s">
        <v>203</v>
      </c>
      <c r="I33" s="9" t="s">
        <v>171</v>
      </c>
      <c r="J33" s="9" t="s">
        <v>167</v>
      </c>
      <c r="K33" s="9" t="s">
        <v>91</v>
      </c>
      <c r="L33" s="9" t="s">
        <v>168</v>
      </c>
      <c r="M33" s="51" t="s">
        <v>413</v>
      </c>
      <c r="N33" s="71">
        <v>1</v>
      </c>
      <c r="O33" s="62" t="s">
        <v>568</v>
      </c>
    </row>
    <row r="34" spans="1:15" ht="30" x14ac:dyDescent="0.25">
      <c r="A34" s="8">
        <f t="shared" si="1"/>
        <v>27</v>
      </c>
      <c r="B34" s="8" t="s">
        <v>518</v>
      </c>
      <c r="C34" s="9" t="s">
        <v>395</v>
      </c>
      <c r="D34" s="9" t="s">
        <v>488</v>
      </c>
      <c r="E34" s="9" t="s">
        <v>205</v>
      </c>
      <c r="F34" s="9"/>
      <c r="G34" s="9" t="s">
        <v>513</v>
      </c>
      <c r="H34" s="9" t="s">
        <v>188</v>
      </c>
      <c r="I34" s="9" t="s">
        <v>171</v>
      </c>
      <c r="J34" s="9" t="s">
        <v>167</v>
      </c>
      <c r="K34" s="9" t="s">
        <v>91</v>
      </c>
      <c r="L34" s="9" t="s">
        <v>168</v>
      </c>
      <c r="M34" s="48" t="s">
        <v>413</v>
      </c>
      <c r="N34" s="71">
        <v>2</v>
      </c>
      <c r="O34" s="62" t="s">
        <v>568</v>
      </c>
    </row>
    <row r="35" spans="1:15" ht="60" x14ac:dyDescent="0.25">
      <c r="A35" s="8">
        <f t="shared" si="1"/>
        <v>28</v>
      </c>
      <c r="B35" s="8" t="s">
        <v>517</v>
      </c>
      <c r="C35" s="9" t="s">
        <v>511</v>
      </c>
      <c r="D35" s="9" t="s">
        <v>515</v>
      </c>
      <c r="E35" s="9" t="s">
        <v>516</v>
      </c>
      <c r="F35" s="9"/>
      <c r="G35" s="9" t="s">
        <v>512</v>
      </c>
      <c r="H35" s="9" t="s">
        <v>519</v>
      </c>
      <c r="I35" s="9" t="s">
        <v>91</v>
      </c>
      <c r="J35" s="9" t="s">
        <v>167</v>
      </c>
      <c r="K35" s="9" t="s">
        <v>168</v>
      </c>
      <c r="L35" s="9" t="s">
        <v>171</v>
      </c>
      <c r="M35" s="48" t="s">
        <v>413</v>
      </c>
      <c r="N35" s="71">
        <v>2</v>
      </c>
      <c r="O35" s="62" t="s">
        <v>567</v>
      </c>
    </row>
    <row r="36" spans="1:15" ht="45" x14ac:dyDescent="0.25">
      <c r="A36" s="8">
        <f t="shared" si="1"/>
        <v>29</v>
      </c>
      <c r="B36" s="8" t="s">
        <v>517</v>
      </c>
      <c r="C36" s="9" t="s">
        <v>520</v>
      </c>
      <c r="D36" s="9" t="s">
        <v>521</v>
      </c>
      <c r="E36" s="70" t="s">
        <v>529</v>
      </c>
      <c r="F36" s="9"/>
      <c r="G36" s="9" t="s">
        <v>558</v>
      </c>
      <c r="H36" s="9" t="s">
        <v>549</v>
      </c>
      <c r="I36" s="9" t="s">
        <v>171</v>
      </c>
      <c r="J36" s="9" t="s">
        <v>167</v>
      </c>
      <c r="K36" s="9" t="s">
        <v>91</v>
      </c>
      <c r="L36" s="9" t="s">
        <v>168</v>
      </c>
      <c r="M36" s="48" t="s">
        <v>413</v>
      </c>
      <c r="N36" s="71">
        <v>2</v>
      </c>
      <c r="O36" s="62" t="s">
        <v>568</v>
      </c>
    </row>
    <row r="37" spans="1:15" ht="45" x14ac:dyDescent="0.25">
      <c r="A37" s="8">
        <f t="shared" si="1"/>
        <v>30</v>
      </c>
      <c r="B37" s="8" t="s">
        <v>517</v>
      </c>
      <c r="C37" s="9" t="s">
        <v>541</v>
      </c>
      <c r="D37" s="9" t="s">
        <v>526</v>
      </c>
      <c r="E37" s="9" t="s">
        <v>527</v>
      </c>
      <c r="F37" s="9"/>
      <c r="G37" s="9" t="s">
        <v>559</v>
      </c>
      <c r="H37" s="9" t="s">
        <v>547</v>
      </c>
      <c r="I37" s="9" t="s">
        <v>171</v>
      </c>
      <c r="J37" s="9" t="s">
        <v>167</v>
      </c>
      <c r="K37" s="9" t="s">
        <v>91</v>
      </c>
      <c r="L37" s="9" t="s">
        <v>168</v>
      </c>
      <c r="M37" s="48" t="s">
        <v>413</v>
      </c>
      <c r="N37" s="71">
        <v>1</v>
      </c>
      <c r="O37" s="62" t="s">
        <v>568</v>
      </c>
    </row>
    <row r="38" spans="1:15" ht="45" x14ac:dyDescent="0.25">
      <c r="A38" s="8">
        <f t="shared" si="1"/>
        <v>31</v>
      </c>
      <c r="B38" s="8" t="s">
        <v>517</v>
      </c>
      <c r="C38" s="9" t="s">
        <v>542</v>
      </c>
      <c r="D38" s="9" t="s">
        <v>523</v>
      </c>
      <c r="E38" s="9" t="s">
        <v>524</v>
      </c>
      <c r="F38" s="9"/>
      <c r="G38" s="9" t="s">
        <v>560</v>
      </c>
      <c r="H38" s="9" t="s">
        <v>528</v>
      </c>
      <c r="I38" s="9" t="s">
        <v>171</v>
      </c>
      <c r="J38" s="9" t="s">
        <v>167</v>
      </c>
      <c r="K38" s="9" t="s">
        <v>91</v>
      </c>
      <c r="L38" s="9" t="s">
        <v>168</v>
      </c>
      <c r="M38" s="48" t="s">
        <v>413</v>
      </c>
      <c r="N38" s="71">
        <v>1</v>
      </c>
      <c r="O38" s="62" t="s">
        <v>568</v>
      </c>
    </row>
    <row r="39" spans="1:15" ht="51.75" customHeight="1" x14ac:dyDescent="0.25">
      <c r="A39" s="8">
        <f t="shared" si="1"/>
        <v>32</v>
      </c>
      <c r="B39" s="8" t="s">
        <v>517</v>
      </c>
      <c r="C39" s="9" t="s">
        <v>543</v>
      </c>
      <c r="D39" s="9" t="s">
        <v>530</v>
      </c>
      <c r="E39" s="9" t="s">
        <v>531</v>
      </c>
      <c r="F39" s="9"/>
      <c r="G39" s="9" t="s">
        <v>561</v>
      </c>
      <c r="H39" s="9" t="s">
        <v>535</v>
      </c>
      <c r="I39" s="9" t="s">
        <v>171</v>
      </c>
      <c r="J39" s="9" t="s">
        <v>167</v>
      </c>
      <c r="K39" s="9" t="s">
        <v>91</v>
      </c>
      <c r="L39" s="9" t="s">
        <v>168</v>
      </c>
      <c r="M39" s="48" t="s">
        <v>413</v>
      </c>
      <c r="N39" s="71">
        <v>1</v>
      </c>
      <c r="O39" s="62" t="s">
        <v>568</v>
      </c>
    </row>
    <row r="40" spans="1:15" ht="30" x14ac:dyDescent="0.25">
      <c r="A40" s="8">
        <f t="shared" si="1"/>
        <v>33</v>
      </c>
      <c r="B40" s="8" t="s">
        <v>517</v>
      </c>
      <c r="C40" s="9" t="s">
        <v>544</v>
      </c>
      <c r="D40" s="9" t="s">
        <v>532</v>
      </c>
      <c r="E40" s="9" t="s">
        <v>533</v>
      </c>
      <c r="F40" s="9"/>
      <c r="G40" s="9" t="s">
        <v>562</v>
      </c>
      <c r="H40" s="9" t="s">
        <v>534</v>
      </c>
      <c r="I40" s="9" t="s">
        <v>171</v>
      </c>
      <c r="J40" s="9" t="s">
        <v>167</v>
      </c>
      <c r="K40" s="9" t="s">
        <v>91</v>
      </c>
      <c r="L40" s="9" t="s">
        <v>168</v>
      </c>
      <c r="M40" s="48" t="s">
        <v>413</v>
      </c>
      <c r="N40" s="71">
        <v>1</v>
      </c>
      <c r="O40" s="62" t="s">
        <v>568</v>
      </c>
    </row>
    <row r="41" spans="1:15" ht="45" x14ac:dyDescent="0.25">
      <c r="A41" s="8">
        <f t="shared" si="1"/>
        <v>34</v>
      </c>
      <c r="B41" s="8" t="s">
        <v>517</v>
      </c>
      <c r="C41" s="9" t="s">
        <v>545</v>
      </c>
      <c r="D41" s="9" t="s">
        <v>536</v>
      </c>
      <c r="E41" s="9" t="s">
        <v>537</v>
      </c>
      <c r="F41" s="9"/>
      <c r="G41" s="9" t="s">
        <v>563</v>
      </c>
      <c r="H41" s="9" t="s">
        <v>548</v>
      </c>
      <c r="I41" s="9" t="s">
        <v>171</v>
      </c>
      <c r="J41" s="9" t="s">
        <v>167</v>
      </c>
      <c r="K41" s="9" t="s">
        <v>91</v>
      </c>
      <c r="L41" s="9" t="s">
        <v>168</v>
      </c>
      <c r="M41" s="48" t="s">
        <v>413</v>
      </c>
      <c r="N41" s="71">
        <v>1</v>
      </c>
      <c r="O41" s="62" t="s">
        <v>568</v>
      </c>
    </row>
    <row r="42" spans="1:15" ht="45" x14ac:dyDescent="0.25">
      <c r="A42" s="8">
        <f t="shared" si="1"/>
        <v>35</v>
      </c>
      <c r="B42" s="8" t="s">
        <v>517</v>
      </c>
      <c r="C42" s="9" t="s">
        <v>546</v>
      </c>
      <c r="D42" s="9" t="s">
        <v>538</v>
      </c>
      <c r="E42" s="9" t="s">
        <v>539</v>
      </c>
      <c r="F42" s="9"/>
      <c r="G42" s="9" t="s">
        <v>564</v>
      </c>
      <c r="H42" s="9" t="s">
        <v>540</v>
      </c>
      <c r="I42" s="9" t="s">
        <v>171</v>
      </c>
      <c r="J42" s="9" t="s">
        <v>167</v>
      </c>
      <c r="K42" s="9" t="s">
        <v>91</v>
      </c>
      <c r="L42" s="9" t="s">
        <v>168</v>
      </c>
      <c r="M42" s="48" t="s">
        <v>413</v>
      </c>
      <c r="N42" s="71">
        <v>1</v>
      </c>
      <c r="O42" s="62" t="s">
        <v>568</v>
      </c>
    </row>
    <row r="43" spans="1:15" x14ac:dyDescent="0.25">
      <c r="A43" s="8">
        <f t="shared" si="1"/>
        <v>36</v>
      </c>
      <c r="B43" s="8"/>
      <c r="C43" s="9"/>
      <c r="D43" s="9"/>
      <c r="E43" s="9"/>
      <c r="F43" s="9"/>
      <c r="G43" s="9"/>
      <c r="H43" s="9"/>
      <c r="I43" s="9"/>
      <c r="J43" s="9"/>
      <c r="K43" s="9"/>
      <c r="L43" s="9"/>
    </row>
    <row r="44" spans="1:15" x14ac:dyDescent="0.25">
      <c r="A44" s="8" t="str">
        <f t="shared" si="1"/>
        <v/>
      </c>
      <c r="B44" s="8"/>
      <c r="C44" s="9"/>
      <c r="D44" s="9"/>
      <c r="E44" s="9"/>
      <c r="F44" s="9"/>
      <c r="G44" s="9"/>
      <c r="H44" s="9"/>
      <c r="I44" s="9"/>
      <c r="J44" s="9"/>
      <c r="K44" s="9"/>
      <c r="L44" s="9"/>
    </row>
    <row r="45" spans="1:15" x14ac:dyDescent="0.25">
      <c r="A45" s="8" t="str">
        <f t="shared" si="1"/>
        <v/>
      </c>
      <c r="B45" s="8"/>
      <c r="C45" s="9"/>
      <c r="D45" s="9"/>
      <c r="E45" s="9"/>
      <c r="F45" s="9"/>
      <c r="G45" s="9"/>
      <c r="H45" s="9"/>
      <c r="I45" s="9"/>
      <c r="J45" s="9"/>
      <c r="K45" s="9"/>
      <c r="L45" s="9"/>
    </row>
    <row r="46" spans="1:15" x14ac:dyDescent="0.25">
      <c r="A46" s="8" t="str">
        <f t="shared" si="1"/>
        <v/>
      </c>
      <c r="B46" s="8"/>
      <c r="C46" s="9"/>
      <c r="D46" s="9"/>
      <c r="E46" s="9"/>
      <c r="F46" s="9"/>
      <c r="G46" s="9"/>
      <c r="H46" s="9"/>
      <c r="I46" s="9"/>
      <c r="J46" s="9"/>
      <c r="K46" s="9"/>
      <c r="L46" s="9"/>
    </row>
    <row r="47" spans="1:15" x14ac:dyDescent="0.25">
      <c r="A47" s="8" t="str">
        <f t="shared" si="1"/>
        <v/>
      </c>
      <c r="B47" s="8"/>
      <c r="C47" s="9"/>
      <c r="D47" s="9"/>
      <c r="E47" s="9"/>
      <c r="F47" s="9"/>
      <c r="G47" s="9"/>
      <c r="H47" s="9"/>
      <c r="I47" s="9"/>
      <c r="J47" s="9"/>
      <c r="K47" s="9"/>
      <c r="L47" s="9"/>
    </row>
    <row r="48" spans="1:15" x14ac:dyDescent="0.25">
      <c r="A48" s="8" t="str">
        <f t="shared" si="1"/>
        <v/>
      </c>
      <c r="B48" s="8"/>
      <c r="C48" s="9"/>
      <c r="D48" s="9"/>
      <c r="E48" s="9"/>
      <c r="F48" s="9"/>
      <c r="G48" s="9"/>
      <c r="H48" s="9"/>
      <c r="I48" s="9"/>
      <c r="J48" s="9"/>
      <c r="K48" s="9"/>
      <c r="L48" s="9"/>
    </row>
    <row r="49" spans="1:12" x14ac:dyDescent="0.25">
      <c r="A49" s="8" t="str">
        <f t="shared" si="1"/>
        <v/>
      </c>
      <c r="B49" s="8"/>
      <c r="C49" s="9"/>
      <c r="D49" s="9"/>
      <c r="E49" s="9"/>
      <c r="F49" s="9"/>
      <c r="G49" s="9"/>
      <c r="H49" s="9"/>
      <c r="I49" s="9"/>
      <c r="J49" s="9"/>
      <c r="K49" s="9"/>
      <c r="L49" s="9"/>
    </row>
    <row r="50" spans="1:12" x14ac:dyDescent="0.25">
      <c r="A50" s="8" t="str">
        <f t="shared" si="1"/>
        <v/>
      </c>
      <c r="B50" s="8"/>
      <c r="C50" s="9"/>
      <c r="D50" s="9"/>
      <c r="E50" s="9"/>
      <c r="F50" s="9"/>
      <c r="G50" s="9"/>
      <c r="H50" s="9"/>
      <c r="I50" s="9"/>
      <c r="J50" s="9"/>
      <c r="K50" s="9"/>
      <c r="L50" s="9"/>
    </row>
    <row r="51" spans="1:12" x14ac:dyDescent="0.25">
      <c r="A51" s="8" t="str">
        <f t="shared" si="1"/>
        <v/>
      </c>
      <c r="B51" s="8"/>
      <c r="C51" s="9"/>
      <c r="D51" s="9"/>
      <c r="E51" s="9"/>
      <c r="F51" s="9"/>
      <c r="G51" s="9"/>
      <c r="H51" s="9"/>
      <c r="I51" s="9"/>
      <c r="J51" s="9"/>
      <c r="K51" s="9"/>
      <c r="L51" s="9"/>
    </row>
    <row r="52" spans="1:12" x14ac:dyDescent="0.25">
      <c r="A52" s="8" t="str">
        <f t="shared" si="1"/>
        <v/>
      </c>
      <c r="B52" s="8"/>
      <c r="C52" s="9"/>
      <c r="D52" s="9"/>
      <c r="E52" s="9"/>
      <c r="F52" s="9"/>
      <c r="G52" s="9"/>
      <c r="H52" s="9"/>
      <c r="I52" s="9"/>
      <c r="J52" s="9"/>
      <c r="K52" s="9"/>
      <c r="L52" s="9"/>
    </row>
    <row r="53" spans="1:12" x14ac:dyDescent="0.25">
      <c r="A53" s="8" t="str">
        <f t="shared" si="1"/>
        <v/>
      </c>
      <c r="B53" s="8"/>
      <c r="C53" s="9"/>
      <c r="D53" s="9"/>
      <c r="E53" s="9"/>
      <c r="F53" s="9"/>
      <c r="G53" s="9"/>
      <c r="H53" s="9"/>
      <c r="I53" s="9"/>
      <c r="J53" s="9"/>
      <c r="K53" s="9"/>
      <c r="L53" s="9"/>
    </row>
    <row r="54" spans="1:12" x14ac:dyDescent="0.25">
      <c r="A54" s="8" t="str">
        <f t="shared" si="1"/>
        <v/>
      </c>
      <c r="B54" s="8"/>
      <c r="C54" s="9"/>
      <c r="D54" s="9"/>
      <c r="E54" s="9"/>
      <c r="F54" s="9"/>
      <c r="G54" s="9"/>
      <c r="H54" s="9"/>
      <c r="I54" s="9"/>
      <c r="J54" s="9"/>
      <c r="K54" s="9"/>
      <c r="L54" s="9"/>
    </row>
    <row r="55" spans="1:12" x14ac:dyDescent="0.25">
      <c r="A55" s="8" t="str">
        <f t="shared" si="1"/>
        <v/>
      </c>
      <c r="B55" s="8"/>
      <c r="C55" s="9"/>
      <c r="D55" s="9"/>
      <c r="E55" s="9"/>
      <c r="F55" s="9"/>
      <c r="G55" s="9"/>
      <c r="H55" s="9"/>
      <c r="I55" s="9"/>
      <c r="J55" s="9"/>
      <c r="K55" s="9"/>
      <c r="L55" s="9"/>
    </row>
    <row r="56" spans="1:12" x14ac:dyDescent="0.25">
      <c r="A56" s="8" t="str">
        <f t="shared" si="1"/>
        <v/>
      </c>
      <c r="B56" s="8"/>
      <c r="C56" s="9"/>
      <c r="D56" s="9"/>
      <c r="E56" s="9"/>
      <c r="F56" s="9"/>
      <c r="G56" s="9"/>
      <c r="H56" s="9"/>
      <c r="I56" s="9"/>
      <c r="J56" s="9"/>
      <c r="K56" s="9"/>
      <c r="L56" s="9"/>
    </row>
    <row r="57" spans="1:12" x14ac:dyDescent="0.25">
      <c r="A57" s="8" t="str">
        <f t="shared" si="1"/>
        <v/>
      </c>
      <c r="B57" s="8"/>
      <c r="C57" s="9"/>
      <c r="D57" s="9"/>
      <c r="E57" s="9"/>
      <c r="F57" s="9"/>
      <c r="G57" s="9"/>
      <c r="H57" s="9"/>
      <c r="I57" s="9"/>
      <c r="J57" s="9"/>
      <c r="K57" s="9"/>
      <c r="L57" s="9"/>
    </row>
    <row r="58" spans="1:12" x14ac:dyDescent="0.25">
      <c r="A58" s="8" t="str">
        <f t="shared" si="1"/>
        <v/>
      </c>
      <c r="B58" s="8"/>
      <c r="C58" s="9"/>
      <c r="D58" s="9"/>
      <c r="E58" s="9"/>
      <c r="F58" s="9"/>
      <c r="G58" s="9"/>
      <c r="H58" s="9"/>
      <c r="I58" s="9"/>
      <c r="J58" s="9"/>
      <c r="K58" s="9"/>
      <c r="L58" s="9"/>
    </row>
    <row r="59" spans="1:12" x14ac:dyDescent="0.25">
      <c r="A59" s="8" t="str">
        <f t="shared" si="1"/>
        <v/>
      </c>
      <c r="B59" s="8"/>
      <c r="C59" s="9"/>
      <c r="D59" s="9"/>
      <c r="E59" s="9"/>
      <c r="F59" s="9"/>
      <c r="G59" s="9"/>
      <c r="H59" s="9"/>
      <c r="I59" s="9"/>
      <c r="J59" s="9"/>
      <c r="K59" s="9"/>
      <c r="L59" s="9"/>
    </row>
    <row r="60" spans="1:12" x14ac:dyDescent="0.25">
      <c r="A60" s="8" t="str">
        <f t="shared" si="1"/>
        <v/>
      </c>
      <c r="B60" s="8"/>
      <c r="C60" s="9"/>
      <c r="D60" s="9"/>
      <c r="E60" s="9"/>
      <c r="F60" s="9"/>
      <c r="G60" s="9"/>
      <c r="H60" s="9"/>
      <c r="I60" s="9"/>
      <c r="J60" s="9"/>
      <c r="K60" s="9"/>
      <c r="L60" s="9"/>
    </row>
    <row r="61" spans="1:12" x14ac:dyDescent="0.25">
      <c r="A61" s="8" t="str">
        <f t="shared" si="1"/>
        <v/>
      </c>
      <c r="B61" s="8"/>
      <c r="C61" s="9"/>
      <c r="D61" s="9"/>
      <c r="E61" s="9"/>
      <c r="F61" s="9"/>
      <c r="G61" s="9"/>
      <c r="H61" s="9"/>
      <c r="I61" s="9"/>
      <c r="J61" s="9"/>
      <c r="K61" s="9"/>
      <c r="L61" s="9"/>
    </row>
    <row r="62" spans="1:12" x14ac:dyDescent="0.25">
      <c r="A62" s="8" t="str">
        <f t="shared" si="1"/>
        <v/>
      </c>
      <c r="B62" s="8"/>
      <c r="C62" s="9"/>
      <c r="D62" s="9"/>
      <c r="E62" s="9"/>
      <c r="F62" s="9"/>
      <c r="G62" s="9"/>
      <c r="H62" s="9"/>
      <c r="I62" s="9"/>
      <c r="J62" s="9"/>
      <c r="K62" s="9"/>
      <c r="L62" s="9"/>
    </row>
    <row r="63" spans="1:12" x14ac:dyDescent="0.25">
      <c r="A63" s="8" t="str">
        <f t="shared" si="1"/>
        <v/>
      </c>
      <c r="B63" s="8"/>
      <c r="C63" s="9"/>
      <c r="D63" s="9"/>
      <c r="E63" s="9"/>
      <c r="F63" s="9"/>
      <c r="G63" s="9"/>
      <c r="H63" s="9"/>
      <c r="I63" s="9"/>
      <c r="J63" s="9"/>
      <c r="K63" s="9"/>
      <c r="L63" s="9"/>
    </row>
    <row r="64" spans="1:12" x14ac:dyDescent="0.25">
      <c r="A64" s="8" t="str">
        <f t="shared" si="1"/>
        <v/>
      </c>
      <c r="B64" s="8"/>
      <c r="C64" s="9"/>
      <c r="D64" s="9"/>
      <c r="E64" s="9"/>
      <c r="F64" s="9"/>
      <c r="G64" s="9"/>
      <c r="H64" s="9"/>
      <c r="I64" s="9"/>
      <c r="J64" s="9"/>
      <c r="K64" s="9"/>
      <c r="L64" s="9"/>
    </row>
    <row r="65" spans="1:12" x14ac:dyDescent="0.25">
      <c r="A65" s="8" t="str">
        <f t="shared" si="1"/>
        <v/>
      </c>
      <c r="B65" s="8"/>
      <c r="C65" s="9"/>
      <c r="D65" s="9"/>
      <c r="E65" s="9"/>
      <c r="F65" s="9"/>
      <c r="G65" s="9"/>
      <c r="H65" s="9"/>
      <c r="I65" s="9"/>
      <c r="J65" s="9"/>
      <c r="K65" s="9"/>
      <c r="L65" s="9"/>
    </row>
    <row r="66" spans="1:12" x14ac:dyDescent="0.25">
      <c r="A66" s="8" t="str">
        <f t="shared" si="1"/>
        <v/>
      </c>
      <c r="B66" s="8"/>
      <c r="C66" s="9"/>
      <c r="D66" s="9"/>
      <c r="E66" s="9"/>
      <c r="F66" s="9"/>
      <c r="G66" s="9"/>
      <c r="H66" s="9"/>
      <c r="I66" s="9"/>
      <c r="J66" s="9"/>
      <c r="K66" s="9"/>
      <c r="L66" s="9"/>
    </row>
    <row r="67" spans="1:12" x14ac:dyDescent="0.25">
      <c r="A67" s="8" t="str">
        <f t="shared" si="1"/>
        <v/>
      </c>
      <c r="B67" s="8"/>
      <c r="C67" s="9"/>
      <c r="D67" s="9"/>
      <c r="E67" s="9"/>
      <c r="F67" s="9"/>
      <c r="G67" s="9"/>
      <c r="H67" s="9"/>
      <c r="I67" s="9"/>
      <c r="J67" s="9"/>
      <c r="K67" s="9"/>
      <c r="L67" s="9"/>
    </row>
    <row r="68" spans="1:12" x14ac:dyDescent="0.25">
      <c r="A68" s="8" t="str">
        <f t="shared" si="1"/>
        <v/>
      </c>
      <c r="B68" s="8"/>
      <c r="C68" s="9"/>
      <c r="D68" s="9"/>
      <c r="E68" s="9"/>
      <c r="F68" s="9"/>
      <c r="G68" s="9"/>
      <c r="H68" s="9"/>
      <c r="I68" s="9"/>
      <c r="J68" s="9"/>
      <c r="K68" s="9"/>
      <c r="L68" s="9"/>
    </row>
    <row r="69" spans="1:12" x14ac:dyDescent="0.25">
      <c r="A69" s="8" t="str">
        <f t="shared" si="1"/>
        <v/>
      </c>
      <c r="B69" s="8"/>
      <c r="C69" s="9"/>
      <c r="D69" s="9"/>
      <c r="E69" s="9"/>
      <c r="F69" s="9"/>
      <c r="G69" s="9"/>
      <c r="H69" s="9"/>
      <c r="I69" s="9"/>
      <c r="J69" s="9"/>
      <c r="K69" s="9"/>
      <c r="L69" s="9"/>
    </row>
    <row r="70" spans="1:12" x14ac:dyDescent="0.25">
      <c r="A70" s="8" t="str">
        <f t="shared" ref="A70:A100" si="2">IF(C69&lt;&gt;"", IF(ISNUMBER(A69), A69+1, 1), "")</f>
        <v/>
      </c>
      <c r="B70" s="8"/>
      <c r="C70" s="9"/>
      <c r="D70" s="9"/>
      <c r="E70" s="9"/>
      <c r="F70" s="9"/>
      <c r="G70" s="9"/>
      <c r="H70" s="9"/>
      <c r="I70" s="9"/>
      <c r="J70" s="9"/>
      <c r="K70" s="9"/>
      <c r="L70" s="9"/>
    </row>
    <row r="71" spans="1:12" x14ac:dyDescent="0.25">
      <c r="A71" s="8" t="str">
        <f t="shared" si="2"/>
        <v/>
      </c>
      <c r="B71" s="8"/>
      <c r="C71" s="9"/>
      <c r="D71" s="9"/>
      <c r="E71" s="9"/>
      <c r="F71" s="9"/>
      <c r="G71" s="9"/>
      <c r="H71" s="9"/>
      <c r="I71" s="9"/>
      <c r="J71" s="9"/>
      <c r="K71" s="9"/>
      <c r="L71" s="9"/>
    </row>
    <row r="72" spans="1:12" x14ac:dyDescent="0.25">
      <c r="A72" s="8" t="str">
        <f t="shared" si="2"/>
        <v/>
      </c>
      <c r="B72" s="8"/>
      <c r="C72" s="9"/>
      <c r="D72" s="9"/>
      <c r="E72" s="9"/>
      <c r="F72" s="9"/>
      <c r="G72" s="9"/>
      <c r="H72" s="9"/>
      <c r="I72" s="9"/>
      <c r="J72" s="9"/>
      <c r="K72" s="9"/>
      <c r="L72" s="9"/>
    </row>
    <row r="73" spans="1:12" x14ac:dyDescent="0.25">
      <c r="A73" s="8" t="str">
        <f t="shared" si="2"/>
        <v/>
      </c>
      <c r="B73" s="8"/>
      <c r="C73" s="9"/>
      <c r="D73" s="9"/>
      <c r="E73" s="9"/>
      <c r="F73" s="9"/>
      <c r="G73" s="9"/>
      <c r="H73" s="9"/>
      <c r="I73" s="9"/>
      <c r="J73" s="9"/>
      <c r="K73" s="9"/>
      <c r="L73" s="9"/>
    </row>
    <row r="74" spans="1:12" x14ac:dyDescent="0.25">
      <c r="A74" s="8" t="str">
        <f t="shared" si="2"/>
        <v/>
      </c>
      <c r="B74" s="8"/>
      <c r="C74" s="9"/>
      <c r="D74" s="9"/>
      <c r="E74" s="9"/>
      <c r="F74" s="9"/>
      <c r="G74" s="9"/>
      <c r="H74" s="9"/>
      <c r="I74" s="9"/>
      <c r="J74" s="9"/>
      <c r="K74" s="9"/>
      <c r="L74" s="9"/>
    </row>
    <row r="75" spans="1:12" x14ac:dyDescent="0.25">
      <c r="A75" s="8" t="str">
        <f t="shared" si="2"/>
        <v/>
      </c>
      <c r="B75" s="8"/>
      <c r="C75" s="9"/>
      <c r="D75" s="9"/>
      <c r="E75" s="9"/>
      <c r="F75" s="9"/>
      <c r="G75" s="9"/>
      <c r="H75" s="9"/>
      <c r="I75" s="9"/>
      <c r="J75" s="9"/>
      <c r="K75" s="9"/>
      <c r="L75" s="9"/>
    </row>
    <row r="76" spans="1:12" x14ac:dyDescent="0.25">
      <c r="A76" s="8" t="str">
        <f t="shared" si="2"/>
        <v/>
      </c>
      <c r="B76" s="8"/>
      <c r="C76" s="9"/>
      <c r="D76" s="9"/>
      <c r="E76" s="9"/>
      <c r="F76" s="9"/>
      <c r="G76" s="9"/>
      <c r="H76" s="9"/>
      <c r="I76" s="9"/>
      <c r="J76" s="9"/>
      <c r="K76" s="9"/>
      <c r="L76" s="9"/>
    </row>
    <row r="77" spans="1:12" x14ac:dyDescent="0.25">
      <c r="A77" s="8" t="str">
        <f t="shared" si="2"/>
        <v/>
      </c>
      <c r="B77" s="8"/>
      <c r="C77" s="9"/>
      <c r="D77" s="9"/>
      <c r="E77" s="9"/>
      <c r="F77" s="9"/>
      <c r="G77" s="9"/>
      <c r="H77" s="9"/>
      <c r="I77" s="9"/>
      <c r="J77" s="9"/>
      <c r="K77" s="9"/>
      <c r="L77" s="9"/>
    </row>
    <row r="78" spans="1:12" x14ac:dyDescent="0.25">
      <c r="A78" s="8" t="str">
        <f t="shared" si="2"/>
        <v/>
      </c>
      <c r="B78" s="8"/>
      <c r="C78" s="9"/>
      <c r="D78" s="9"/>
      <c r="E78" s="9"/>
      <c r="F78" s="9"/>
      <c r="G78" s="9"/>
      <c r="H78" s="9"/>
      <c r="I78" s="9"/>
      <c r="J78" s="9"/>
      <c r="K78" s="9"/>
      <c r="L78" s="9"/>
    </row>
    <row r="79" spans="1:12" x14ac:dyDescent="0.25">
      <c r="A79" s="8" t="str">
        <f t="shared" si="2"/>
        <v/>
      </c>
      <c r="B79" s="8"/>
      <c r="C79" s="9"/>
      <c r="D79" s="9"/>
      <c r="E79" s="9"/>
      <c r="F79" s="9"/>
      <c r="G79" s="9"/>
      <c r="H79" s="9"/>
      <c r="I79" s="9"/>
      <c r="J79" s="9"/>
      <c r="K79" s="9"/>
      <c r="L79" s="9"/>
    </row>
    <row r="80" spans="1:12" x14ac:dyDescent="0.25">
      <c r="A80" s="8" t="str">
        <f t="shared" si="2"/>
        <v/>
      </c>
      <c r="B80" s="8"/>
      <c r="C80" s="9"/>
      <c r="D80" s="9"/>
      <c r="E80" s="9"/>
      <c r="F80" s="9"/>
      <c r="G80" s="9"/>
      <c r="H80" s="9"/>
      <c r="I80" s="9"/>
      <c r="J80" s="9"/>
      <c r="K80" s="9"/>
      <c r="L80" s="9"/>
    </row>
    <row r="81" spans="1:12" x14ac:dyDescent="0.25">
      <c r="A81" s="8" t="str">
        <f t="shared" si="2"/>
        <v/>
      </c>
      <c r="B81" s="8"/>
      <c r="C81" s="9"/>
      <c r="D81" s="9"/>
      <c r="E81" s="9"/>
      <c r="F81" s="9"/>
      <c r="G81" s="9"/>
      <c r="H81" s="9"/>
      <c r="I81" s="9"/>
      <c r="J81" s="9"/>
      <c r="K81" s="9"/>
      <c r="L81" s="9"/>
    </row>
    <row r="82" spans="1:12" x14ac:dyDescent="0.25">
      <c r="A82" s="8" t="str">
        <f t="shared" si="2"/>
        <v/>
      </c>
      <c r="B82" s="8"/>
      <c r="C82" s="9"/>
      <c r="D82" s="9"/>
      <c r="E82" s="9"/>
      <c r="F82" s="9"/>
      <c r="G82" s="9"/>
      <c r="H82" s="9"/>
      <c r="I82" s="9"/>
      <c r="J82" s="9"/>
      <c r="K82" s="9"/>
      <c r="L82" s="9"/>
    </row>
    <row r="83" spans="1:12" x14ac:dyDescent="0.25">
      <c r="A83" s="8" t="str">
        <f t="shared" si="2"/>
        <v/>
      </c>
      <c r="B83" s="8"/>
      <c r="C83" s="9"/>
      <c r="D83" s="9"/>
      <c r="E83" s="9"/>
      <c r="F83" s="9"/>
      <c r="G83" s="9"/>
      <c r="H83" s="9"/>
      <c r="I83" s="9"/>
      <c r="J83" s="9"/>
      <c r="K83" s="9"/>
      <c r="L83" s="9"/>
    </row>
    <row r="84" spans="1:12" x14ac:dyDescent="0.25">
      <c r="A84" s="8" t="str">
        <f t="shared" si="2"/>
        <v/>
      </c>
      <c r="B84" s="8"/>
      <c r="C84" s="9"/>
      <c r="D84" s="9"/>
      <c r="E84" s="9"/>
      <c r="F84" s="9"/>
      <c r="G84" s="9"/>
      <c r="H84" s="9"/>
      <c r="I84" s="9"/>
      <c r="J84" s="9"/>
      <c r="K84" s="9"/>
      <c r="L84" s="9"/>
    </row>
    <row r="85" spans="1:12" x14ac:dyDescent="0.25">
      <c r="A85" s="8" t="str">
        <f t="shared" si="2"/>
        <v/>
      </c>
      <c r="B85" s="8"/>
      <c r="C85" s="9"/>
      <c r="D85" s="9"/>
      <c r="E85" s="9"/>
      <c r="F85" s="9"/>
      <c r="G85" s="9"/>
      <c r="H85" s="9"/>
      <c r="I85" s="9"/>
      <c r="J85" s="9"/>
      <c r="K85" s="9"/>
      <c r="L85" s="9"/>
    </row>
    <row r="86" spans="1:12" x14ac:dyDescent="0.25">
      <c r="A86" s="8" t="str">
        <f t="shared" si="2"/>
        <v/>
      </c>
      <c r="B86" s="8"/>
      <c r="C86" s="9"/>
      <c r="D86" s="9"/>
      <c r="E86" s="9"/>
      <c r="F86" s="9"/>
      <c r="G86" s="9"/>
      <c r="H86" s="9"/>
      <c r="I86" s="9"/>
      <c r="J86" s="9"/>
      <c r="K86" s="9"/>
      <c r="L86" s="9"/>
    </row>
    <row r="87" spans="1:12" x14ac:dyDescent="0.25">
      <c r="A87" s="8" t="str">
        <f t="shared" si="2"/>
        <v/>
      </c>
      <c r="B87" s="8"/>
      <c r="C87" s="9"/>
      <c r="D87" s="9"/>
      <c r="E87" s="9"/>
      <c r="F87" s="9"/>
      <c r="G87" s="9"/>
      <c r="H87" s="9"/>
      <c r="I87" s="9"/>
      <c r="J87" s="9"/>
      <c r="K87" s="9"/>
      <c r="L87" s="9"/>
    </row>
    <row r="88" spans="1:12" x14ac:dyDescent="0.25">
      <c r="A88" s="8" t="str">
        <f t="shared" si="2"/>
        <v/>
      </c>
      <c r="B88" s="8"/>
      <c r="C88" s="9"/>
      <c r="D88" s="9"/>
      <c r="E88" s="9"/>
      <c r="F88" s="9"/>
      <c r="G88" s="9"/>
      <c r="H88" s="9"/>
      <c r="I88" s="9"/>
      <c r="J88" s="9"/>
      <c r="K88" s="9"/>
      <c r="L88" s="9"/>
    </row>
    <row r="89" spans="1:12" x14ac:dyDescent="0.25">
      <c r="A89" s="8" t="str">
        <f t="shared" si="2"/>
        <v/>
      </c>
      <c r="B89" s="8"/>
      <c r="C89" s="9"/>
      <c r="D89" s="9"/>
      <c r="E89" s="9"/>
      <c r="F89" s="9"/>
      <c r="G89" s="9"/>
      <c r="H89" s="9"/>
      <c r="I89" s="9"/>
      <c r="J89" s="9"/>
      <c r="K89" s="9"/>
      <c r="L89" s="9"/>
    </row>
    <row r="90" spans="1:12" x14ac:dyDescent="0.25">
      <c r="A90" s="8" t="str">
        <f t="shared" si="2"/>
        <v/>
      </c>
      <c r="B90" s="8"/>
      <c r="C90" s="9"/>
      <c r="D90" s="9"/>
      <c r="E90" s="9"/>
      <c r="F90" s="9"/>
      <c r="G90" s="9"/>
      <c r="H90" s="9"/>
      <c r="I90" s="9"/>
      <c r="J90" s="9"/>
      <c r="K90" s="9"/>
      <c r="L90" s="9"/>
    </row>
    <row r="91" spans="1:12" x14ac:dyDescent="0.25">
      <c r="A91" s="8" t="str">
        <f t="shared" si="2"/>
        <v/>
      </c>
      <c r="B91" s="8"/>
      <c r="C91" s="9"/>
      <c r="D91" s="9"/>
      <c r="E91" s="9"/>
      <c r="F91" s="9"/>
      <c r="G91" s="9"/>
      <c r="H91" s="9"/>
      <c r="I91" s="9"/>
      <c r="J91" s="9"/>
      <c r="K91" s="9"/>
      <c r="L91" s="9"/>
    </row>
    <row r="92" spans="1:12" x14ac:dyDescent="0.25">
      <c r="A92" s="8" t="str">
        <f t="shared" si="2"/>
        <v/>
      </c>
      <c r="B92" s="8"/>
      <c r="C92" s="9"/>
      <c r="D92" s="9"/>
      <c r="E92" s="9"/>
      <c r="F92" s="9"/>
      <c r="G92" s="9"/>
      <c r="H92" s="9"/>
      <c r="I92" s="9"/>
      <c r="J92" s="9"/>
      <c r="K92" s="9"/>
      <c r="L92" s="9"/>
    </row>
    <row r="93" spans="1:12" x14ac:dyDescent="0.25">
      <c r="A93" s="8" t="str">
        <f t="shared" si="2"/>
        <v/>
      </c>
      <c r="B93" s="8"/>
      <c r="C93" s="9"/>
      <c r="D93" s="9"/>
      <c r="E93" s="9"/>
      <c r="F93" s="9"/>
      <c r="G93" s="9"/>
      <c r="H93" s="9"/>
      <c r="I93" s="9"/>
      <c r="J93" s="9"/>
      <c r="K93" s="9"/>
      <c r="L93" s="9"/>
    </row>
    <row r="94" spans="1:12" x14ac:dyDescent="0.25">
      <c r="A94" s="8" t="str">
        <f t="shared" si="2"/>
        <v/>
      </c>
      <c r="B94" s="8"/>
      <c r="C94" s="9"/>
      <c r="D94" s="9"/>
      <c r="E94" s="9"/>
      <c r="F94" s="9"/>
      <c r="G94" s="9"/>
      <c r="H94" s="9"/>
      <c r="I94" s="9"/>
      <c r="J94" s="9"/>
      <c r="K94" s="9"/>
      <c r="L94" s="9"/>
    </row>
    <row r="95" spans="1:12" x14ac:dyDescent="0.25">
      <c r="A95" s="8" t="str">
        <f t="shared" si="2"/>
        <v/>
      </c>
      <c r="B95" s="8"/>
      <c r="C95" s="9"/>
      <c r="D95" s="9"/>
      <c r="E95" s="9"/>
      <c r="F95" s="9"/>
      <c r="G95" s="9"/>
      <c r="H95" s="9"/>
      <c r="I95" s="9"/>
      <c r="J95" s="9"/>
      <c r="K95" s="9"/>
      <c r="L95" s="9"/>
    </row>
    <row r="96" spans="1:12" x14ac:dyDescent="0.25">
      <c r="A96" s="8" t="str">
        <f t="shared" si="2"/>
        <v/>
      </c>
      <c r="B96" s="8"/>
      <c r="C96" s="9"/>
      <c r="D96" s="9"/>
      <c r="E96" s="9"/>
      <c r="F96" s="9"/>
      <c r="G96" s="9"/>
      <c r="H96" s="9"/>
      <c r="I96" s="9"/>
      <c r="J96" s="9"/>
      <c r="K96" s="9"/>
      <c r="L96" s="9"/>
    </row>
    <row r="97" spans="1:12" x14ac:dyDescent="0.25">
      <c r="A97" s="8" t="str">
        <f t="shared" si="2"/>
        <v/>
      </c>
      <c r="B97" s="8"/>
      <c r="C97" s="9"/>
      <c r="D97" s="9"/>
      <c r="E97" s="9"/>
      <c r="F97" s="9"/>
      <c r="G97" s="9"/>
      <c r="H97" s="9"/>
      <c r="I97" s="9"/>
      <c r="J97" s="9"/>
      <c r="K97" s="9"/>
      <c r="L97" s="9"/>
    </row>
    <row r="98" spans="1:12" x14ac:dyDescent="0.25">
      <c r="A98" s="8" t="str">
        <f t="shared" si="2"/>
        <v/>
      </c>
      <c r="B98" s="8"/>
      <c r="C98" s="9"/>
      <c r="D98" s="9"/>
      <c r="E98" s="9"/>
      <c r="F98" s="9"/>
      <c r="G98" s="9"/>
      <c r="H98" s="9"/>
      <c r="I98" s="9"/>
      <c r="J98" s="9"/>
      <c r="K98" s="9"/>
      <c r="L98" s="9"/>
    </row>
    <row r="99" spans="1:12" x14ac:dyDescent="0.25">
      <c r="A99" s="8" t="str">
        <f t="shared" si="2"/>
        <v/>
      </c>
      <c r="B99" s="8"/>
      <c r="C99" s="9"/>
      <c r="D99" s="9"/>
      <c r="E99" s="9"/>
      <c r="F99" s="9"/>
      <c r="G99" s="9"/>
      <c r="H99" s="9"/>
      <c r="I99" s="9"/>
      <c r="J99" s="9"/>
      <c r="K99" s="9"/>
      <c r="L99" s="9"/>
    </row>
    <row r="100" spans="1:12" x14ac:dyDescent="0.25">
      <c r="A100" s="8" t="str">
        <f t="shared" si="2"/>
        <v/>
      </c>
      <c r="B100" s="8"/>
      <c r="C100" s="9"/>
      <c r="D100" s="9"/>
      <c r="E100" s="9"/>
      <c r="F100" s="9"/>
      <c r="G100" s="9"/>
      <c r="H100" s="9"/>
      <c r="I100" s="9"/>
      <c r="J100" s="9"/>
      <c r="K100" s="9"/>
      <c r="L100" s="9"/>
    </row>
    <row r="101" spans="1:12" x14ac:dyDescent="0.25">
      <c r="A101" s="1" t="s">
        <v>37</v>
      </c>
      <c r="B101" s="1" t="s">
        <v>37</v>
      </c>
      <c r="C101" s="1" t="s">
        <v>37</v>
      </c>
      <c r="D101" s="1" t="s">
        <v>37</v>
      </c>
      <c r="E101" s="1" t="s">
        <v>37</v>
      </c>
      <c r="F101" s="1" t="s">
        <v>37</v>
      </c>
      <c r="G101" s="1" t="s">
        <v>37</v>
      </c>
      <c r="H101" s="1" t="s">
        <v>37</v>
      </c>
      <c r="I101" s="1" t="s">
        <v>37</v>
      </c>
      <c r="J101" s="1" t="s">
        <v>37</v>
      </c>
      <c r="K101" s="1" t="s">
        <v>37</v>
      </c>
      <c r="L101" s="1" t="s">
        <v>37</v>
      </c>
    </row>
  </sheetData>
  <mergeCells count="3">
    <mergeCell ref="D9:D10"/>
    <mergeCell ref="D5:D8"/>
    <mergeCell ref="D12:D13"/>
  </mergeCells>
  <conditionalFormatting sqref="A2:L4">
    <cfRule type="expression" dxfId="10" priority="10">
      <formula>AND(TRIM(A2)="", ROW()&gt;1, ROW()&lt;&gt;1, ROW()&lt;&gt;2, ROW()&lt;&gt;3, ROW()&lt;&gt;4)</formula>
    </cfRule>
  </conditionalFormatting>
  <conditionalFormatting sqref="I5:L100">
    <cfRule type="expression" dxfId="9" priority="7">
      <formula>I5="System Architecture"</formula>
    </cfRule>
    <cfRule type="expression" dxfId="8" priority="8">
      <formula>I5="System Administrator"</formula>
    </cfRule>
    <cfRule type="expression" dxfId="7" priority="9">
      <formula>I5="Developer"</formula>
    </cfRule>
  </conditionalFormatting>
  <conditionalFormatting sqref="M5:M42">
    <cfRule type="cellIs" dxfId="6" priority="5" operator="equal">
      <formula>"Done"</formula>
    </cfRule>
    <cfRule type="cellIs" dxfId="5" priority="6" operator="equal">
      <formula>"In Progress"</formula>
    </cfRule>
  </conditionalFormatting>
  <conditionalFormatting sqref="B5:B100">
    <cfRule type="cellIs" dxfId="4" priority="1" operator="equal">
      <formula>"CI"</formula>
    </cfRule>
    <cfRule type="cellIs" dxfId="3" priority="2" operator="equal">
      <formula>"CD On Cloud"</formula>
    </cfRule>
    <cfRule type="cellIs" dxfId="2" priority="3" operator="equal">
      <formula>"CD On Premise"</formula>
    </cfRule>
    <cfRule type="cellIs" dxfId="1" priority="4" operator="equal">
      <formula>"Preparation"</formula>
    </cfRule>
  </conditionalFormatting>
  <dataValidations disablePrompts="1" count="1">
    <dataValidation type="list" showInputMessage="1" showErrorMessage="1" sqref="M5:M42" xr:uid="{54679A1D-65A3-476C-9C29-919F05645652}">
      <formula1>"Done,To Do,In Progress"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883B-1B70-4AFF-A8E0-00DD4BE2E467}">
  <dimension ref="A1:O47"/>
  <sheetViews>
    <sheetView tabSelected="1" zoomScale="85" zoomScaleNormal="85" workbookViewId="0">
      <pane xSplit="4" ySplit="1" topLeftCell="E5" activePane="bottomRight" state="frozen"/>
      <selection pane="topRight" activeCell="D1" sqref="D1"/>
      <selection pane="bottomLeft" activeCell="A2" sqref="A2"/>
      <selection pane="bottomRight" activeCell="J6" sqref="J6"/>
    </sheetView>
  </sheetViews>
  <sheetFormatPr defaultColWidth="9.140625" defaultRowHeight="15" x14ac:dyDescent="0.25"/>
  <cols>
    <col min="1" max="1" width="4.140625" style="11" bestFit="1" customWidth="1"/>
    <col min="2" max="2" width="20.28515625" style="11" customWidth="1"/>
    <col min="3" max="3" width="41.85546875" style="11" customWidth="1"/>
    <col min="4" max="4" width="20.42578125" style="11" customWidth="1"/>
    <col min="5" max="5" width="17.7109375" style="11" bestFit="1" customWidth="1"/>
    <col min="6" max="6" width="17" style="11" customWidth="1"/>
    <col min="7" max="7" width="10" style="11" bestFit="1" customWidth="1"/>
    <col min="8" max="8" width="64.140625" style="11" customWidth="1"/>
    <col min="9" max="9" width="19.5703125" style="11" customWidth="1"/>
    <col min="10" max="10" width="24.140625" style="10" customWidth="1"/>
    <col min="11" max="11" width="29.42578125" style="11" bestFit="1" customWidth="1"/>
    <col min="12" max="12" width="8.5703125" style="11" bestFit="1" customWidth="1"/>
    <col min="13" max="13" width="13.5703125" style="11" customWidth="1"/>
    <col min="14" max="14" width="20.5703125" style="11" hidden="1" customWidth="1"/>
    <col min="15" max="15" width="13.7109375" style="11" customWidth="1"/>
    <col min="16" max="16384" width="9.140625" style="68"/>
  </cols>
  <sheetData>
    <row r="1" spans="1:15" ht="30" x14ac:dyDescent="0.25">
      <c r="A1" s="66" t="s">
        <v>0</v>
      </c>
      <c r="B1" s="66" t="s">
        <v>367</v>
      </c>
      <c r="C1" s="66" t="s">
        <v>1</v>
      </c>
      <c r="D1" s="66" t="s">
        <v>2</v>
      </c>
      <c r="E1" s="66" t="s">
        <v>33</v>
      </c>
      <c r="F1" s="66" t="s">
        <v>25</v>
      </c>
      <c r="G1" s="66" t="s">
        <v>27</v>
      </c>
      <c r="H1" s="66" t="s">
        <v>28</v>
      </c>
      <c r="I1" s="66" t="s">
        <v>29</v>
      </c>
      <c r="J1" s="67" t="s">
        <v>40</v>
      </c>
      <c r="K1" s="66" t="s">
        <v>42</v>
      </c>
      <c r="L1" s="66" t="s">
        <v>3</v>
      </c>
      <c r="M1" s="66" t="s">
        <v>4</v>
      </c>
      <c r="N1" s="53" t="s">
        <v>62</v>
      </c>
      <c r="O1" s="53" t="s">
        <v>411</v>
      </c>
    </row>
    <row r="2" spans="1:15" ht="75" x14ac:dyDescent="0.25">
      <c r="A2" s="54">
        <f>IF(B1&lt;&gt;"", IF(ISNUMBER(A1), A1+1, 1), "")</f>
        <v>1</v>
      </c>
      <c r="B2" s="59" t="s">
        <v>166</v>
      </c>
      <c r="C2" s="59" t="s">
        <v>5</v>
      </c>
      <c r="D2" s="59" t="s">
        <v>6</v>
      </c>
      <c r="E2" s="59" t="s">
        <v>34</v>
      </c>
      <c r="F2" s="59" t="s">
        <v>32</v>
      </c>
      <c r="G2" s="59" t="s">
        <v>38</v>
      </c>
      <c r="H2" s="59" t="s">
        <v>31</v>
      </c>
      <c r="I2" s="59" t="s">
        <v>79</v>
      </c>
      <c r="J2" s="60"/>
      <c r="K2" s="59" t="s">
        <v>37</v>
      </c>
      <c r="L2" s="59" t="s">
        <v>37</v>
      </c>
      <c r="M2" s="59" t="s">
        <v>30</v>
      </c>
      <c r="N2" s="61" t="s">
        <v>63</v>
      </c>
      <c r="O2" s="61" t="s">
        <v>412</v>
      </c>
    </row>
    <row r="3" spans="1:15" ht="105" x14ac:dyDescent="0.25">
      <c r="A3" s="54">
        <f t="shared" ref="A3:A34" si="0">IF(B2&lt;&gt;"", IF(ISNUMBER(A2), A2+1, 1), "")</f>
        <v>2</v>
      </c>
      <c r="B3" s="59" t="s">
        <v>176</v>
      </c>
      <c r="C3" s="59" t="s">
        <v>7</v>
      </c>
      <c r="D3" s="59" t="s">
        <v>6</v>
      </c>
      <c r="E3" s="59" t="s">
        <v>46</v>
      </c>
      <c r="F3" s="59" t="s">
        <v>489</v>
      </c>
      <c r="G3" s="59" t="s">
        <v>44</v>
      </c>
      <c r="H3" s="59" t="s">
        <v>45</v>
      </c>
      <c r="I3" s="59" t="s">
        <v>39</v>
      </c>
      <c r="J3" s="64" t="s">
        <v>41</v>
      </c>
      <c r="K3" s="59" t="s">
        <v>43</v>
      </c>
      <c r="L3" s="59" t="s">
        <v>37</v>
      </c>
      <c r="M3" s="59" t="s">
        <v>37</v>
      </c>
      <c r="N3" s="61" t="s">
        <v>63</v>
      </c>
      <c r="O3" s="61" t="s">
        <v>412</v>
      </c>
    </row>
    <row r="4" spans="1:15" ht="75" x14ac:dyDescent="0.25">
      <c r="A4" s="54">
        <f t="shared" si="0"/>
        <v>3</v>
      </c>
      <c r="B4" s="59" t="s">
        <v>177</v>
      </c>
      <c r="C4" s="59" t="s">
        <v>9</v>
      </c>
      <c r="D4" s="59" t="s">
        <v>8</v>
      </c>
      <c r="E4" s="59" t="s">
        <v>66</v>
      </c>
      <c r="F4" s="59" t="s">
        <v>490</v>
      </c>
      <c r="G4" s="59" t="s">
        <v>69</v>
      </c>
      <c r="H4" s="59" t="s">
        <v>64</v>
      </c>
      <c r="I4" s="59" t="s">
        <v>77</v>
      </c>
      <c r="J4" s="60" t="s">
        <v>76</v>
      </c>
      <c r="K4" s="59" t="s">
        <v>37</v>
      </c>
      <c r="L4" s="59" t="s">
        <v>37</v>
      </c>
      <c r="M4" s="59" t="s">
        <v>37</v>
      </c>
      <c r="N4" s="61" t="s">
        <v>63</v>
      </c>
      <c r="O4" s="61" t="s">
        <v>412</v>
      </c>
    </row>
    <row r="5" spans="1:15" ht="150" x14ac:dyDescent="0.25">
      <c r="A5" s="54">
        <f t="shared" si="0"/>
        <v>4</v>
      </c>
      <c r="B5" s="59" t="s">
        <v>179</v>
      </c>
      <c r="C5" s="59" t="s">
        <v>68</v>
      </c>
      <c r="D5" s="59" t="s">
        <v>8</v>
      </c>
      <c r="E5" s="59" t="s">
        <v>71</v>
      </c>
      <c r="F5" s="59" t="s">
        <v>484</v>
      </c>
      <c r="G5" s="59" t="s">
        <v>70</v>
      </c>
      <c r="H5" s="59" t="s">
        <v>73</v>
      </c>
      <c r="I5" s="59" t="s">
        <v>78</v>
      </c>
      <c r="J5" s="60" t="s">
        <v>75</v>
      </c>
      <c r="K5" s="59" t="s">
        <v>37</v>
      </c>
      <c r="L5" s="59" t="s">
        <v>37</v>
      </c>
      <c r="M5" s="59" t="s">
        <v>37</v>
      </c>
      <c r="N5" s="61" t="s">
        <v>80</v>
      </c>
      <c r="O5" s="61" t="s">
        <v>412</v>
      </c>
    </row>
    <row r="6" spans="1:15" ht="90" x14ac:dyDescent="0.25">
      <c r="A6" s="54">
        <f t="shared" si="0"/>
        <v>5</v>
      </c>
      <c r="B6" s="59" t="s">
        <v>368</v>
      </c>
      <c r="C6" s="59" t="s">
        <v>235</v>
      </c>
      <c r="D6" s="59" t="s">
        <v>8</v>
      </c>
      <c r="E6" s="59"/>
      <c r="F6" s="59" t="s">
        <v>483</v>
      </c>
      <c r="G6" s="59" t="s">
        <v>69</v>
      </c>
      <c r="H6" s="59" t="s">
        <v>234</v>
      </c>
      <c r="I6" s="59"/>
      <c r="J6" s="60"/>
      <c r="K6" s="59" t="s">
        <v>37</v>
      </c>
      <c r="L6" s="59" t="s">
        <v>37</v>
      </c>
      <c r="M6" s="59" t="s">
        <v>37</v>
      </c>
      <c r="N6" s="61"/>
      <c r="O6" s="61" t="s">
        <v>412</v>
      </c>
    </row>
    <row r="7" spans="1:15" ht="75" x14ac:dyDescent="0.25">
      <c r="A7" s="54">
        <f t="shared" si="0"/>
        <v>6</v>
      </c>
      <c r="B7" s="59" t="s">
        <v>181</v>
      </c>
      <c r="C7" s="59" t="s">
        <v>10</v>
      </c>
      <c r="D7" s="59" t="s">
        <v>8</v>
      </c>
      <c r="E7" s="59" t="s">
        <v>65</v>
      </c>
      <c r="F7" s="59" t="s">
        <v>483</v>
      </c>
      <c r="G7" s="59" t="s">
        <v>69</v>
      </c>
      <c r="H7" s="59" t="s">
        <v>442</v>
      </c>
      <c r="I7" s="59" t="s">
        <v>74</v>
      </c>
      <c r="J7" s="60"/>
      <c r="K7" s="59" t="s">
        <v>37</v>
      </c>
      <c r="L7" s="59" t="s">
        <v>37</v>
      </c>
      <c r="M7" s="59" t="s">
        <v>37</v>
      </c>
      <c r="N7" s="61" t="s">
        <v>80</v>
      </c>
      <c r="O7" s="61" t="s">
        <v>412</v>
      </c>
    </row>
    <row r="8" spans="1:15" ht="30" x14ac:dyDescent="0.25">
      <c r="A8" s="54">
        <f t="shared" si="0"/>
        <v>7</v>
      </c>
      <c r="B8" s="59" t="s">
        <v>389</v>
      </c>
      <c r="C8" s="59" t="s">
        <v>448</v>
      </c>
      <c r="D8" s="59" t="s">
        <v>8</v>
      </c>
      <c r="E8" s="59" t="s">
        <v>34</v>
      </c>
      <c r="F8" s="59" t="s">
        <v>23</v>
      </c>
      <c r="G8" s="59" t="s">
        <v>450</v>
      </c>
      <c r="H8" s="59" t="s">
        <v>449</v>
      </c>
      <c r="I8" s="59"/>
      <c r="J8" s="60"/>
      <c r="K8" s="59"/>
      <c r="L8" s="59"/>
      <c r="M8" s="59"/>
      <c r="N8" s="61"/>
      <c r="O8" s="61" t="s">
        <v>413</v>
      </c>
    </row>
    <row r="9" spans="1:15" ht="255" x14ac:dyDescent="0.25">
      <c r="A9" s="54">
        <f t="shared" si="0"/>
        <v>8</v>
      </c>
      <c r="B9" s="59" t="s">
        <v>389</v>
      </c>
      <c r="C9" s="59" t="s">
        <v>86</v>
      </c>
      <c r="D9" s="59" t="s">
        <v>8</v>
      </c>
      <c r="E9" s="59" t="s">
        <v>34</v>
      </c>
      <c r="F9" s="59" t="s">
        <v>23</v>
      </c>
      <c r="G9" s="59"/>
      <c r="H9" s="59" t="s">
        <v>87</v>
      </c>
      <c r="I9" s="59"/>
      <c r="J9" s="60"/>
      <c r="K9" s="59" t="s">
        <v>37</v>
      </c>
      <c r="L9" s="59" t="s">
        <v>12</v>
      </c>
      <c r="M9" s="59" t="s">
        <v>37</v>
      </c>
      <c r="N9" s="61" t="s">
        <v>80</v>
      </c>
      <c r="O9" s="61" t="s">
        <v>412</v>
      </c>
    </row>
    <row r="10" spans="1:15" ht="180" x14ac:dyDescent="0.25">
      <c r="A10" s="54">
        <f t="shared" si="0"/>
        <v>9</v>
      </c>
      <c r="B10" s="59" t="s">
        <v>182</v>
      </c>
      <c r="C10" s="59" t="s">
        <v>15</v>
      </c>
      <c r="D10" s="59" t="s">
        <v>8</v>
      </c>
      <c r="E10" s="59" t="s">
        <v>82</v>
      </c>
      <c r="F10" s="59" t="s">
        <v>482</v>
      </c>
      <c r="G10" s="59" t="s">
        <v>69</v>
      </c>
      <c r="H10" s="59" t="s">
        <v>85</v>
      </c>
      <c r="I10" s="59" t="s">
        <v>83</v>
      </c>
      <c r="J10" s="60" t="s">
        <v>84</v>
      </c>
      <c r="K10" s="59" t="s">
        <v>37</v>
      </c>
      <c r="L10" s="59" t="s">
        <v>37</v>
      </c>
      <c r="M10" s="59" t="s">
        <v>37</v>
      </c>
      <c r="N10" s="61"/>
      <c r="O10" s="61" t="s">
        <v>412</v>
      </c>
    </row>
    <row r="11" spans="1:15" ht="409.5" x14ac:dyDescent="0.25">
      <c r="A11" s="54">
        <f t="shared" si="0"/>
        <v>10</v>
      </c>
      <c r="B11" s="59" t="s">
        <v>403</v>
      </c>
      <c r="C11" s="59" t="s">
        <v>16</v>
      </c>
      <c r="D11" s="59" t="s">
        <v>96</v>
      </c>
      <c r="E11" s="59" t="s">
        <v>36</v>
      </c>
      <c r="F11" s="59" t="s">
        <v>22</v>
      </c>
      <c r="G11" s="59"/>
      <c r="H11" s="59" t="s">
        <v>481</v>
      </c>
      <c r="I11" s="59" t="e" vm="1">
        <v>#VALUE!</v>
      </c>
      <c r="J11" s="64" t="s">
        <v>112</v>
      </c>
      <c r="K11" s="59" t="s">
        <v>37</v>
      </c>
      <c r="L11" s="59" t="s">
        <v>17</v>
      </c>
      <c r="M11" s="59" t="s">
        <v>37</v>
      </c>
      <c r="N11" s="61"/>
      <c r="O11" s="61" t="s">
        <v>412</v>
      </c>
    </row>
    <row r="12" spans="1:15" ht="60" x14ac:dyDescent="0.25">
      <c r="A12" s="54">
        <f t="shared" si="0"/>
        <v>11</v>
      </c>
      <c r="B12" s="59" t="s">
        <v>191</v>
      </c>
      <c r="C12" s="65" t="s">
        <v>55</v>
      </c>
      <c r="D12" s="59" t="s">
        <v>91</v>
      </c>
      <c r="E12" s="59" t="s">
        <v>35</v>
      </c>
      <c r="F12" s="59" t="s">
        <v>23</v>
      </c>
      <c r="G12" s="59"/>
      <c r="H12" s="59" t="s">
        <v>256</v>
      </c>
      <c r="I12" s="59"/>
      <c r="J12" s="60" t="s">
        <v>113</v>
      </c>
      <c r="K12" s="59" t="s">
        <v>37</v>
      </c>
      <c r="L12" s="59" t="s">
        <v>20</v>
      </c>
      <c r="M12" s="59" t="s">
        <v>37</v>
      </c>
      <c r="N12" s="61"/>
      <c r="O12" s="61" t="s">
        <v>412</v>
      </c>
    </row>
    <row r="13" spans="1:15" ht="60" x14ac:dyDescent="0.25">
      <c r="A13" s="54">
        <f t="shared" si="0"/>
        <v>12</v>
      </c>
      <c r="B13" s="59" t="s">
        <v>370</v>
      </c>
      <c r="C13" s="65" t="s">
        <v>254</v>
      </c>
      <c r="D13" s="59" t="s">
        <v>171</v>
      </c>
      <c r="E13" s="59" t="s">
        <v>35</v>
      </c>
      <c r="F13" s="59" t="s">
        <v>23</v>
      </c>
      <c r="G13" s="59"/>
      <c r="H13" s="59" t="s">
        <v>255</v>
      </c>
      <c r="I13" s="59"/>
      <c r="J13" s="60"/>
      <c r="K13" s="59" t="s">
        <v>37</v>
      </c>
      <c r="L13" s="59" t="s">
        <v>37</v>
      </c>
      <c r="M13" s="59" t="s">
        <v>37</v>
      </c>
      <c r="N13" s="61"/>
      <c r="O13" s="61" t="s">
        <v>412</v>
      </c>
    </row>
    <row r="14" spans="1:15" ht="225" x14ac:dyDescent="0.25">
      <c r="A14" s="54">
        <f t="shared" si="0"/>
        <v>13</v>
      </c>
      <c r="B14" s="59" t="s">
        <v>194</v>
      </c>
      <c r="C14" s="59" t="s">
        <v>114</v>
      </c>
      <c r="D14" s="59"/>
      <c r="E14" s="59"/>
      <c r="F14" s="59"/>
      <c r="G14" s="59"/>
      <c r="H14" s="59" t="s">
        <v>396</v>
      </c>
      <c r="I14" s="59"/>
      <c r="J14" s="60" t="s">
        <v>115</v>
      </c>
      <c r="K14" s="59" t="s">
        <v>37</v>
      </c>
      <c r="L14" s="59" t="s">
        <v>37</v>
      </c>
      <c r="M14" s="59" t="s">
        <v>37</v>
      </c>
      <c r="N14" s="61"/>
      <c r="O14" s="61" t="s">
        <v>412</v>
      </c>
    </row>
    <row r="15" spans="1:15" ht="45" x14ac:dyDescent="0.25">
      <c r="A15" s="54">
        <f t="shared" si="0"/>
        <v>14</v>
      </c>
      <c r="B15" s="59" t="s">
        <v>391</v>
      </c>
      <c r="C15" s="59" t="s">
        <v>101</v>
      </c>
      <c r="D15" s="59" t="s">
        <v>91</v>
      </c>
      <c r="E15" s="59"/>
      <c r="F15" s="59" t="s">
        <v>23</v>
      </c>
      <c r="G15" s="59"/>
      <c r="H15" s="59" t="s">
        <v>443</v>
      </c>
      <c r="I15" s="59"/>
      <c r="J15" s="64" t="s">
        <v>100</v>
      </c>
      <c r="K15" s="59" t="s">
        <v>37</v>
      </c>
      <c r="L15" s="59" t="s">
        <v>37</v>
      </c>
      <c r="M15" s="59" t="s">
        <v>37</v>
      </c>
      <c r="N15" s="61"/>
      <c r="O15" s="61" t="s">
        <v>412</v>
      </c>
    </row>
    <row r="16" spans="1:15" ht="90" x14ac:dyDescent="0.25">
      <c r="A16" s="54">
        <f t="shared" si="0"/>
        <v>15</v>
      </c>
      <c r="B16" s="59" t="s">
        <v>186</v>
      </c>
      <c r="C16" s="59" t="s">
        <v>92</v>
      </c>
      <c r="D16" s="59" t="s">
        <v>26</v>
      </c>
      <c r="E16" s="59"/>
      <c r="F16" s="59" t="s">
        <v>444</v>
      </c>
      <c r="G16" s="59"/>
      <c r="H16" s="59" t="s">
        <v>103</v>
      </c>
      <c r="I16" s="59" t="s">
        <v>98</v>
      </c>
      <c r="J16" s="60" t="s">
        <v>97</v>
      </c>
      <c r="K16" s="59" t="s">
        <v>37</v>
      </c>
      <c r="L16" s="59" t="s">
        <v>37</v>
      </c>
      <c r="M16" s="59" t="s">
        <v>37</v>
      </c>
      <c r="N16" s="61"/>
      <c r="O16" s="61" t="s">
        <v>412</v>
      </c>
    </row>
    <row r="17" spans="1:15" ht="120" x14ac:dyDescent="0.25">
      <c r="A17" s="54">
        <f t="shared" si="0"/>
        <v>16</v>
      </c>
      <c r="B17" s="59" t="s">
        <v>196</v>
      </c>
      <c r="C17" s="59" t="s">
        <v>104</v>
      </c>
      <c r="D17" s="59" t="s">
        <v>26</v>
      </c>
      <c r="E17" s="59"/>
      <c r="F17" s="59" t="s">
        <v>22</v>
      </c>
      <c r="G17" s="59"/>
      <c r="H17" s="59" t="s">
        <v>105</v>
      </c>
      <c r="I17" s="59"/>
      <c r="J17" s="60" t="s">
        <v>110</v>
      </c>
      <c r="K17" s="59" t="s">
        <v>37</v>
      </c>
      <c r="L17" s="59" t="s">
        <v>37</v>
      </c>
      <c r="M17" s="59" t="s">
        <v>37</v>
      </c>
      <c r="N17" s="61"/>
      <c r="O17" s="61" t="s">
        <v>412</v>
      </c>
    </row>
    <row r="18" spans="1:15" ht="30" x14ac:dyDescent="0.25">
      <c r="A18" s="54">
        <f t="shared" si="0"/>
        <v>17</v>
      </c>
      <c r="B18" s="59" t="s">
        <v>198</v>
      </c>
      <c r="C18" s="59" t="s">
        <v>99</v>
      </c>
      <c r="D18" s="59" t="s">
        <v>26</v>
      </c>
      <c r="E18" s="59"/>
      <c r="F18" s="59" t="s">
        <v>22</v>
      </c>
      <c r="G18" s="59"/>
      <c r="H18" s="59" t="s">
        <v>109</v>
      </c>
      <c r="I18" s="59"/>
      <c r="J18" s="60" t="s">
        <v>108</v>
      </c>
      <c r="K18" s="59" t="s">
        <v>37</v>
      </c>
      <c r="L18" s="59" t="s">
        <v>37</v>
      </c>
      <c r="M18" s="59" t="s">
        <v>37</v>
      </c>
      <c r="N18" s="61"/>
      <c r="O18" s="61" t="s">
        <v>412</v>
      </c>
    </row>
    <row r="19" spans="1:15" ht="165" x14ac:dyDescent="0.25">
      <c r="A19" s="54">
        <f t="shared" si="0"/>
        <v>18</v>
      </c>
      <c r="B19" s="59" t="s">
        <v>189</v>
      </c>
      <c r="C19" s="59" t="s">
        <v>93</v>
      </c>
      <c r="D19" s="59" t="s">
        <v>96</v>
      </c>
      <c r="E19" s="59"/>
      <c r="F19" s="59" t="s">
        <v>447</v>
      </c>
      <c r="G19" s="59"/>
      <c r="H19" s="59" t="s">
        <v>446</v>
      </c>
      <c r="I19" s="59" t="s">
        <v>95</v>
      </c>
      <c r="J19" s="60" t="s">
        <v>445</v>
      </c>
      <c r="K19" s="59" t="s">
        <v>37</v>
      </c>
      <c r="L19" s="59" t="s">
        <v>37</v>
      </c>
      <c r="M19" s="59" t="s">
        <v>37</v>
      </c>
      <c r="N19" s="61"/>
      <c r="O19" s="61" t="s">
        <v>412</v>
      </c>
    </row>
    <row r="20" spans="1:15" ht="105" x14ac:dyDescent="0.25">
      <c r="A20" s="54">
        <f t="shared" si="0"/>
        <v>19</v>
      </c>
      <c r="B20" s="59" t="s">
        <v>202</v>
      </c>
      <c r="C20" s="59" t="s">
        <v>106</v>
      </c>
      <c r="D20" s="59" t="s">
        <v>26</v>
      </c>
      <c r="E20" s="59"/>
      <c r="F20" s="59" t="s">
        <v>22</v>
      </c>
      <c r="G20" s="59"/>
      <c r="H20" s="59" t="s">
        <v>107</v>
      </c>
      <c r="I20" s="59"/>
      <c r="J20" s="60"/>
      <c r="K20" s="59" t="s">
        <v>37</v>
      </c>
      <c r="L20" s="59" t="s">
        <v>37</v>
      </c>
      <c r="M20" s="59" t="s">
        <v>37</v>
      </c>
      <c r="N20" s="61"/>
      <c r="O20" s="61" t="s">
        <v>412</v>
      </c>
    </row>
    <row r="21" spans="1:15" ht="45" x14ac:dyDescent="0.25">
      <c r="A21" s="54">
        <f t="shared" si="0"/>
        <v>20</v>
      </c>
      <c r="B21" s="59" t="s">
        <v>204</v>
      </c>
      <c r="C21" s="59" t="s">
        <v>102</v>
      </c>
      <c r="D21" s="59" t="s">
        <v>26</v>
      </c>
      <c r="E21" s="59"/>
      <c r="F21" s="59" t="s">
        <v>485</v>
      </c>
      <c r="G21" s="59"/>
      <c r="H21" s="59" t="s">
        <v>111</v>
      </c>
      <c r="I21" s="59"/>
      <c r="J21" s="60"/>
      <c r="K21" s="59" t="s">
        <v>37</v>
      </c>
      <c r="L21" s="59" t="s">
        <v>37</v>
      </c>
      <c r="M21" s="59" t="s">
        <v>37</v>
      </c>
      <c r="N21" s="61"/>
      <c r="O21" s="61" t="s">
        <v>412</v>
      </c>
    </row>
    <row r="22" spans="1:15" x14ac:dyDescent="0.25">
      <c r="A22" s="54">
        <f t="shared" si="0"/>
        <v>21</v>
      </c>
      <c r="B22" s="61" t="s">
        <v>37</v>
      </c>
      <c r="C22" s="61" t="s">
        <v>37</v>
      </c>
      <c r="D22" s="61" t="s">
        <v>37</v>
      </c>
      <c r="E22" s="61" t="s">
        <v>37</v>
      </c>
      <c r="F22" s="61" t="s">
        <v>37</v>
      </c>
      <c r="G22" s="61" t="s">
        <v>37</v>
      </c>
      <c r="H22" s="61" t="s">
        <v>37</v>
      </c>
      <c r="I22" s="61" t="s">
        <v>37</v>
      </c>
      <c r="J22" s="61" t="s">
        <v>37</v>
      </c>
      <c r="K22" s="61" t="s">
        <v>37</v>
      </c>
      <c r="L22" s="61" t="s">
        <v>37</v>
      </c>
      <c r="M22" s="61" t="s">
        <v>37</v>
      </c>
      <c r="N22" s="61" t="s">
        <v>37</v>
      </c>
      <c r="O22" s="61" t="s">
        <v>37</v>
      </c>
    </row>
    <row r="23" spans="1:15" ht="315" x14ac:dyDescent="0.25">
      <c r="A23" s="69">
        <f t="shared" si="0"/>
        <v>22</v>
      </c>
      <c r="B23" s="59"/>
      <c r="C23" s="59" t="s">
        <v>452</v>
      </c>
      <c r="D23" s="59" t="s">
        <v>91</v>
      </c>
      <c r="E23" s="59"/>
      <c r="F23" s="59" t="s">
        <v>451</v>
      </c>
      <c r="G23" s="59"/>
      <c r="H23" s="59" t="s">
        <v>473</v>
      </c>
      <c r="I23" s="59"/>
      <c r="J23" s="60"/>
      <c r="K23" s="59"/>
      <c r="L23" s="59"/>
      <c r="M23" s="59"/>
      <c r="N23" s="61"/>
      <c r="O23" s="61"/>
    </row>
    <row r="24" spans="1:15" ht="75" x14ac:dyDescent="0.25">
      <c r="A24" s="69" t="str">
        <f t="shared" si="0"/>
        <v/>
      </c>
      <c r="B24" s="59" t="s">
        <v>511</v>
      </c>
      <c r="C24" s="9" t="s">
        <v>456</v>
      </c>
      <c r="D24" s="61" t="s">
        <v>470</v>
      </c>
      <c r="E24" s="61"/>
      <c r="F24" s="59" t="s">
        <v>451</v>
      </c>
      <c r="G24" s="61"/>
      <c r="H24" s="61" t="s">
        <v>454</v>
      </c>
      <c r="I24" s="61"/>
      <c r="J24" s="61"/>
      <c r="K24" s="61"/>
      <c r="L24" s="61"/>
      <c r="M24" s="61"/>
      <c r="N24" s="61"/>
      <c r="O24" s="61"/>
    </row>
    <row r="25" spans="1:15" ht="30" x14ac:dyDescent="0.25">
      <c r="A25" s="69">
        <f t="shared" si="0"/>
        <v>1</v>
      </c>
      <c r="B25" s="59" t="s">
        <v>525</v>
      </c>
      <c r="C25" s="9" t="s">
        <v>459</v>
      </c>
      <c r="D25" s="61" t="s">
        <v>470</v>
      </c>
      <c r="E25" s="61"/>
      <c r="F25" s="59" t="s">
        <v>451</v>
      </c>
      <c r="G25" s="61"/>
      <c r="H25" s="61"/>
      <c r="I25" s="61"/>
      <c r="J25" s="61"/>
      <c r="K25" s="61"/>
      <c r="L25" s="61"/>
      <c r="M25" s="61"/>
      <c r="N25" s="61"/>
      <c r="O25" s="61"/>
    </row>
    <row r="26" spans="1:15" ht="45" x14ac:dyDescent="0.25">
      <c r="A26" s="69">
        <f t="shared" si="0"/>
        <v>2</v>
      </c>
      <c r="B26" s="59" t="s">
        <v>522</v>
      </c>
      <c r="C26" s="9" t="s">
        <v>453</v>
      </c>
      <c r="D26" s="61" t="s">
        <v>470</v>
      </c>
      <c r="E26" s="61"/>
      <c r="F26" s="59" t="s">
        <v>451</v>
      </c>
      <c r="G26" s="61"/>
      <c r="H26" s="61" t="s">
        <v>457</v>
      </c>
      <c r="I26" s="61"/>
      <c r="J26" s="61"/>
      <c r="K26" s="61"/>
      <c r="L26" s="61"/>
      <c r="M26" s="61"/>
      <c r="N26" s="61"/>
      <c r="O26" s="61"/>
    </row>
    <row r="27" spans="1:15" ht="45" x14ac:dyDescent="0.25">
      <c r="A27" s="69">
        <f t="shared" si="0"/>
        <v>3</v>
      </c>
      <c r="B27" s="59"/>
      <c r="C27" s="9" t="s">
        <v>455</v>
      </c>
      <c r="D27" s="61" t="s">
        <v>470</v>
      </c>
      <c r="E27" s="61"/>
      <c r="F27" s="59" t="s">
        <v>451</v>
      </c>
      <c r="G27" s="61"/>
      <c r="H27" s="61" t="s">
        <v>458</v>
      </c>
      <c r="I27" s="61"/>
      <c r="J27" s="61"/>
      <c r="K27" s="61"/>
      <c r="L27" s="61"/>
      <c r="M27" s="61"/>
      <c r="N27" s="61"/>
      <c r="O27" s="61"/>
    </row>
    <row r="28" spans="1:15" ht="30" x14ac:dyDescent="0.25">
      <c r="A28" s="69" t="str">
        <f t="shared" si="0"/>
        <v/>
      </c>
      <c r="B28" s="59"/>
      <c r="C28" s="9" t="s">
        <v>460</v>
      </c>
      <c r="D28" s="61" t="s">
        <v>470</v>
      </c>
      <c r="E28" s="61"/>
      <c r="F28" s="59" t="s">
        <v>451</v>
      </c>
      <c r="G28" s="61"/>
      <c r="H28" s="61" t="s">
        <v>461</v>
      </c>
      <c r="I28" s="61"/>
      <c r="J28" s="61"/>
      <c r="K28" s="61"/>
      <c r="L28" s="61"/>
      <c r="M28" s="61"/>
      <c r="N28" s="61"/>
      <c r="O28" s="61"/>
    </row>
    <row r="29" spans="1:15" ht="90" x14ac:dyDescent="0.25">
      <c r="A29" s="69" t="str">
        <f t="shared" si="0"/>
        <v/>
      </c>
      <c r="B29" s="59"/>
      <c r="C29" s="9" t="s">
        <v>469</v>
      </c>
      <c r="D29" s="61" t="s">
        <v>471</v>
      </c>
      <c r="E29" s="61"/>
      <c r="F29" s="59" t="s">
        <v>451</v>
      </c>
      <c r="G29" s="61"/>
      <c r="H29" s="61" t="s">
        <v>472</v>
      </c>
      <c r="I29" s="61"/>
      <c r="J29" s="61"/>
      <c r="K29" s="61"/>
      <c r="L29" s="61"/>
      <c r="M29" s="61"/>
      <c r="N29" s="61"/>
      <c r="O29" s="61"/>
    </row>
    <row r="30" spans="1:15" ht="45" x14ac:dyDescent="0.25">
      <c r="A30" s="69" t="str">
        <f t="shared" si="0"/>
        <v/>
      </c>
      <c r="B30" s="59"/>
      <c r="C30" s="9" t="s">
        <v>463</v>
      </c>
      <c r="D30" s="61" t="s">
        <v>471</v>
      </c>
      <c r="E30" s="61"/>
      <c r="F30" s="59" t="s">
        <v>451</v>
      </c>
      <c r="G30" s="61"/>
      <c r="H30" s="61" t="s">
        <v>464</v>
      </c>
      <c r="I30" s="61"/>
      <c r="J30" s="61"/>
      <c r="K30" s="61"/>
      <c r="L30" s="61"/>
      <c r="M30" s="61"/>
      <c r="N30" s="61"/>
      <c r="O30" s="61"/>
    </row>
    <row r="31" spans="1:15" ht="45" x14ac:dyDescent="0.25">
      <c r="A31" s="69" t="str">
        <f t="shared" si="0"/>
        <v/>
      </c>
      <c r="B31" s="59"/>
      <c r="C31" s="9" t="s">
        <v>465</v>
      </c>
      <c r="D31" s="61" t="s">
        <v>471</v>
      </c>
      <c r="E31" s="61"/>
      <c r="F31" s="59" t="s">
        <v>451</v>
      </c>
      <c r="G31" s="61"/>
      <c r="H31" s="61" t="s">
        <v>466</v>
      </c>
      <c r="I31" s="61"/>
      <c r="J31" s="61"/>
      <c r="K31" s="61"/>
      <c r="L31" s="61"/>
      <c r="M31" s="61"/>
      <c r="N31" s="61"/>
      <c r="O31" s="61"/>
    </row>
    <row r="32" spans="1:15" ht="45" x14ac:dyDescent="0.25">
      <c r="A32" s="69" t="str">
        <f t="shared" si="0"/>
        <v/>
      </c>
      <c r="B32" s="59"/>
      <c r="C32" s="9" t="s">
        <v>467</v>
      </c>
      <c r="D32" s="61" t="s">
        <v>471</v>
      </c>
      <c r="E32" s="61"/>
      <c r="F32" s="59" t="s">
        <v>451</v>
      </c>
      <c r="G32" s="61"/>
      <c r="H32" s="61"/>
      <c r="I32" s="61"/>
      <c r="J32" s="61"/>
      <c r="K32" s="61"/>
      <c r="L32" s="61"/>
      <c r="M32" s="61"/>
      <c r="N32" s="61"/>
      <c r="O32" s="61"/>
    </row>
    <row r="33" spans="1:15" ht="45" x14ac:dyDescent="0.25">
      <c r="A33" s="69" t="str">
        <f t="shared" si="0"/>
        <v/>
      </c>
      <c r="B33" s="59"/>
      <c r="C33" s="9" t="s">
        <v>468</v>
      </c>
      <c r="D33" s="61" t="s">
        <v>471</v>
      </c>
      <c r="E33" s="61"/>
      <c r="F33" s="59" t="s">
        <v>451</v>
      </c>
      <c r="G33" s="61"/>
      <c r="H33" s="61"/>
      <c r="I33" s="61"/>
      <c r="J33" s="61"/>
      <c r="K33" s="61"/>
      <c r="L33" s="61"/>
      <c r="M33" s="61"/>
      <c r="N33" s="61"/>
      <c r="O33" s="61"/>
    </row>
    <row r="34" spans="1:15" ht="45" x14ac:dyDescent="0.25">
      <c r="A34" s="69" t="str">
        <f t="shared" si="0"/>
        <v/>
      </c>
      <c r="B34" s="59"/>
      <c r="C34" s="9" t="s">
        <v>462</v>
      </c>
      <c r="D34" s="61" t="s">
        <v>471</v>
      </c>
      <c r="E34" s="61"/>
      <c r="F34" s="59" t="s">
        <v>451</v>
      </c>
      <c r="G34" s="61"/>
      <c r="H34" s="61"/>
      <c r="I34" s="61"/>
      <c r="J34" s="61"/>
      <c r="K34" s="61"/>
      <c r="L34" s="61"/>
      <c r="M34" s="61"/>
      <c r="N34" s="61"/>
      <c r="O34" s="61"/>
    </row>
    <row r="35" spans="1:15" x14ac:dyDescent="0.25">
      <c r="A35" s="11" t="s">
        <v>37</v>
      </c>
      <c r="B35" s="11" t="s">
        <v>37</v>
      </c>
      <c r="C35" s="11" t="s">
        <v>37</v>
      </c>
      <c r="D35" s="11" t="s">
        <v>37</v>
      </c>
      <c r="E35" s="11" t="s">
        <v>37</v>
      </c>
      <c r="F35" s="11" t="s">
        <v>37</v>
      </c>
      <c r="G35" s="11" t="s">
        <v>37</v>
      </c>
      <c r="H35" s="11" t="s">
        <v>37</v>
      </c>
      <c r="I35" s="11" t="s">
        <v>37</v>
      </c>
      <c r="J35" s="11" t="s">
        <v>37</v>
      </c>
      <c r="K35" s="11" t="s">
        <v>37</v>
      </c>
      <c r="L35" s="11" t="s">
        <v>37</v>
      </c>
      <c r="M35" s="11" t="s">
        <v>37</v>
      </c>
      <c r="N35" s="11" t="s">
        <v>37</v>
      </c>
      <c r="O35" s="11" t="s">
        <v>37</v>
      </c>
    </row>
    <row r="36" spans="1:15" x14ac:dyDescent="0.25">
      <c r="J36" s="11"/>
    </row>
    <row r="37" spans="1:15" x14ac:dyDescent="0.25">
      <c r="J37" s="11"/>
    </row>
    <row r="38" spans="1:15" x14ac:dyDescent="0.25">
      <c r="J38" s="11"/>
    </row>
    <row r="39" spans="1:15" x14ac:dyDescent="0.25">
      <c r="J39" s="11"/>
    </row>
    <row r="40" spans="1:15" x14ac:dyDescent="0.25">
      <c r="J40" s="11"/>
    </row>
    <row r="41" spans="1:15" x14ac:dyDescent="0.25">
      <c r="J41" s="11"/>
    </row>
    <row r="42" spans="1:15" x14ac:dyDescent="0.25">
      <c r="J42" s="11"/>
    </row>
    <row r="43" spans="1:15" x14ac:dyDescent="0.25">
      <c r="J43" s="11"/>
    </row>
    <row r="44" spans="1:15" x14ac:dyDescent="0.25">
      <c r="J44" s="11"/>
    </row>
    <row r="45" spans="1:15" x14ac:dyDescent="0.25">
      <c r="J45" s="11"/>
    </row>
    <row r="46" spans="1:15" x14ac:dyDescent="0.25">
      <c r="J46" s="11"/>
    </row>
    <row r="47" spans="1:15" x14ac:dyDescent="0.25">
      <c r="J47" s="11"/>
    </row>
  </sheetData>
  <conditionalFormatting sqref="O2:O21 O23">
    <cfRule type="cellIs" dxfId="0" priority="1" operator="equal">
      <formula>"Done"</formula>
    </cfRule>
  </conditionalFormatting>
  <dataValidations count="2">
    <dataValidation type="list" showInputMessage="1" showErrorMessage="1" sqref="B2:B21 B23:B34" xr:uid="{013A788C-9E30-403F-BFDD-F9DB12CF9AA3}">
      <formula1>Final_Step</formula1>
    </dataValidation>
    <dataValidation type="list" showInputMessage="1" showErrorMessage="1" sqref="O2:O21 O23" xr:uid="{A6576101-20C1-4BB1-8144-10DFF8DED77C}">
      <formula1>"To Do, Done"</formula1>
    </dataValidation>
  </dataValidations>
  <hyperlinks>
    <hyperlink ref="J3" r:id="rId1" xr:uid="{44E119CF-C750-4500-9FE7-F0CFF1BB759C}"/>
    <hyperlink ref="J15" r:id="rId2" xr:uid="{31F64C75-2399-4212-88E1-257A399D4AC1}"/>
    <hyperlink ref="J11" r:id="rId3" xr:uid="{877CAE27-58D5-4451-AF81-C0193B68EE01}"/>
  </hyperlinks>
  <pageMargins left="0.7" right="0.7" top="0.75" bottom="0.75" header="0.3" footer="0.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E7FD-6AE2-4E2A-B79B-57253A2219F4}">
  <dimension ref="A1:G12"/>
  <sheetViews>
    <sheetView workbookViewId="0">
      <selection activeCell="B30" sqref="B30"/>
    </sheetView>
  </sheetViews>
  <sheetFormatPr defaultRowHeight="15" x14ac:dyDescent="0.25"/>
  <cols>
    <col min="1" max="1" width="4.140625" bestFit="1" customWidth="1"/>
    <col min="2" max="2" width="100.85546875" bestFit="1" customWidth="1"/>
    <col min="3" max="3" width="12.140625" bestFit="1" customWidth="1"/>
    <col min="4" max="4" width="12.140625" customWidth="1"/>
    <col min="5" max="5" width="8.5703125" bestFit="1" customWidth="1"/>
    <col min="6" max="6" width="75" bestFit="1" customWidth="1"/>
  </cols>
  <sheetData>
    <row r="1" spans="1:7" x14ac:dyDescent="0.25">
      <c r="A1" t="s">
        <v>0</v>
      </c>
      <c r="B1" t="s">
        <v>1</v>
      </c>
      <c r="C1" t="s">
        <v>2</v>
      </c>
      <c r="D1" t="s">
        <v>59</v>
      </c>
      <c r="E1" t="s">
        <v>3</v>
      </c>
      <c r="F1" t="s">
        <v>4</v>
      </c>
    </row>
    <row r="2" spans="1:7" x14ac:dyDescent="0.25">
      <c r="A2">
        <v>1</v>
      </c>
      <c r="B2" t="s">
        <v>5</v>
      </c>
      <c r="C2" t="s">
        <v>6</v>
      </c>
      <c r="F2" t="s">
        <v>50</v>
      </c>
    </row>
    <row r="3" spans="1:7" x14ac:dyDescent="0.25">
      <c r="A3">
        <v>2</v>
      </c>
      <c r="B3" t="s">
        <v>7</v>
      </c>
      <c r="C3" t="s">
        <v>8</v>
      </c>
    </row>
    <row r="4" spans="1:7" x14ac:dyDescent="0.25">
      <c r="A4">
        <v>3</v>
      </c>
      <c r="B4" t="s">
        <v>9</v>
      </c>
      <c r="C4" t="s">
        <v>8</v>
      </c>
    </row>
    <row r="5" spans="1:7" x14ac:dyDescent="0.25">
      <c r="A5">
        <v>4</v>
      </c>
      <c r="B5" t="s">
        <v>51</v>
      </c>
      <c r="C5" t="s">
        <v>14</v>
      </c>
      <c r="D5" t="s">
        <v>60</v>
      </c>
      <c r="E5" t="s">
        <v>21</v>
      </c>
      <c r="F5" t="s">
        <v>52</v>
      </c>
      <c r="G5" t="s">
        <v>58</v>
      </c>
    </row>
    <row r="6" spans="1:7" x14ac:dyDescent="0.25">
      <c r="A6">
        <v>5</v>
      </c>
      <c r="B6" t="s">
        <v>13</v>
      </c>
      <c r="C6" t="s">
        <v>14</v>
      </c>
      <c r="F6" t="s">
        <v>53</v>
      </c>
    </row>
    <row r="7" spans="1:7" x14ac:dyDescent="0.25">
      <c r="A7">
        <v>6</v>
      </c>
      <c r="B7" t="s">
        <v>54</v>
      </c>
      <c r="C7" t="s">
        <v>11</v>
      </c>
      <c r="E7" t="s">
        <v>21</v>
      </c>
      <c r="G7" t="s">
        <v>61</v>
      </c>
    </row>
    <row r="8" spans="1:7" x14ac:dyDescent="0.25">
      <c r="A8">
        <v>7</v>
      </c>
      <c r="B8" t="s">
        <v>55</v>
      </c>
      <c r="C8" t="s">
        <v>11</v>
      </c>
      <c r="E8" t="s">
        <v>20</v>
      </c>
    </row>
    <row r="9" spans="1:7" x14ac:dyDescent="0.25">
      <c r="B9" t="s">
        <v>56</v>
      </c>
    </row>
    <row r="10" spans="1:7" x14ac:dyDescent="0.25">
      <c r="B10" t="s">
        <v>18</v>
      </c>
    </row>
    <row r="11" spans="1:7" x14ac:dyDescent="0.25">
      <c r="B11" t="s">
        <v>19</v>
      </c>
    </row>
    <row r="12" spans="1:7" x14ac:dyDescent="0.25">
      <c r="A12">
        <v>8</v>
      </c>
      <c r="B12" t="s">
        <v>57</v>
      </c>
      <c r="C12" t="s">
        <v>11</v>
      </c>
      <c r="E12" t="s">
        <v>21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50AF-4044-4690-B5F1-27C4F84047FB}">
  <dimension ref="A1:E19"/>
  <sheetViews>
    <sheetView workbookViewId="0">
      <selection activeCell="B27" sqref="B27"/>
    </sheetView>
  </sheetViews>
  <sheetFormatPr defaultRowHeight="15" x14ac:dyDescent="0.25"/>
  <cols>
    <col min="1" max="1" width="4.140625" bestFit="1" customWidth="1"/>
    <col min="2" max="2" width="100.85546875" bestFit="1" customWidth="1"/>
    <col min="3" max="3" width="12.140625" bestFit="1" customWidth="1"/>
    <col min="4" max="4" width="8.5703125" bestFit="1" customWidth="1"/>
    <col min="5" max="5" width="9.42578125" bestFit="1" customWidth="1"/>
  </cols>
  <sheetData>
    <row r="1" spans="1:5" x14ac:dyDescent="0.25">
      <c r="A1" t="s">
        <v>0</v>
      </c>
      <c r="B1" t="s">
        <v>1</v>
      </c>
      <c r="C1" t="s">
        <v>2</v>
      </c>
      <c r="D1" t="s">
        <v>3</v>
      </c>
      <c r="E1" t="s">
        <v>4</v>
      </c>
    </row>
    <row r="2" spans="1:5" x14ac:dyDescent="0.25">
      <c r="A2">
        <v>1</v>
      </c>
      <c r="B2" t="s">
        <v>5</v>
      </c>
      <c r="C2" t="s">
        <v>6</v>
      </c>
    </row>
    <row r="3" spans="1:5" x14ac:dyDescent="0.25">
      <c r="A3">
        <v>2</v>
      </c>
      <c r="B3" t="s">
        <v>7</v>
      </c>
      <c r="C3" t="s">
        <v>8</v>
      </c>
    </row>
    <row r="4" spans="1:5" x14ac:dyDescent="0.25">
      <c r="A4">
        <v>3</v>
      </c>
      <c r="B4" t="s">
        <v>9</v>
      </c>
      <c r="C4" t="s">
        <v>8</v>
      </c>
    </row>
    <row r="5" spans="1:5" x14ac:dyDescent="0.25">
      <c r="A5">
        <v>4</v>
      </c>
      <c r="B5" t="s">
        <v>358</v>
      </c>
      <c r="C5" t="s">
        <v>8</v>
      </c>
    </row>
    <row r="6" spans="1:5" x14ac:dyDescent="0.25">
      <c r="B6" t="s">
        <v>359</v>
      </c>
    </row>
    <row r="7" spans="1:5" x14ac:dyDescent="0.25">
      <c r="B7" t="s">
        <v>360</v>
      </c>
    </row>
    <row r="8" spans="1:5" x14ac:dyDescent="0.25">
      <c r="A8">
        <v>5</v>
      </c>
      <c r="B8" t="s">
        <v>10</v>
      </c>
      <c r="C8" t="s">
        <v>8</v>
      </c>
    </row>
    <row r="9" spans="1:5" x14ac:dyDescent="0.25">
      <c r="A9">
        <v>6</v>
      </c>
      <c r="B9" t="s">
        <v>361</v>
      </c>
      <c r="C9" t="s">
        <v>11</v>
      </c>
      <c r="D9" t="s">
        <v>12</v>
      </c>
    </row>
    <row r="10" spans="1:5" x14ac:dyDescent="0.25">
      <c r="B10" t="s">
        <v>362</v>
      </c>
    </row>
    <row r="11" spans="1:5" x14ac:dyDescent="0.25">
      <c r="B11" t="s">
        <v>363</v>
      </c>
    </row>
    <row r="12" spans="1:5" x14ac:dyDescent="0.25">
      <c r="B12" t="s">
        <v>364</v>
      </c>
    </row>
    <row r="13" spans="1:5" x14ac:dyDescent="0.25">
      <c r="A13">
        <v>7</v>
      </c>
      <c r="B13" t="s">
        <v>13</v>
      </c>
      <c r="C13" t="s">
        <v>14</v>
      </c>
    </row>
    <row r="14" spans="1:5" x14ac:dyDescent="0.25">
      <c r="A14">
        <v>8</v>
      </c>
      <c r="B14" t="s">
        <v>15</v>
      </c>
      <c r="C14" t="s">
        <v>8</v>
      </c>
    </row>
    <row r="15" spans="1:5" x14ac:dyDescent="0.25">
      <c r="A15">
        <v>9</v>
      </c>
      <c r="B15" t="s">
        <v>16</v>
      </c>
      <c r="C15" t="s">
        <v>11</v>
      </c>
      <c r="D15" t="s">
        <v>17</v>
      </c>
    </row>
    <row r="16" spans="1:5" x14ac:dyDescent="0.25">
      <c r="A16">
        <v>10</v>
      </c>
      <c r="B16" t="s">
        <v>365</v>
      </c>
      <c r="C16" t="s">
        <v>11</v>
      </c>
      <c r="D16" t="s">
        <v>20</v>
      </c>
    </row>
    <row r="17" spans="1:4" x14ac:dyDescent="0.25">
      <c r="B17" t="s">
        <v>18</v>
      </c>
    </row>
    <row r="18" spans="1:4" x14ac:dyDescent="0.25">
      <c r="B18" t="s">
        <v>19</v>
      </c>
    </row>
    <row r="19" spans="1:4" x14ac:dyDescent="0.25">
      <c r="A19">
        <v>11</v>
      </c>
      <c r="B19" t="s">
        <v>366</v>
      </c>
      <c r="C19" t="s">
        <v>11</v>
      </c>
      <c r="D19"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2648-FF25-45DD-9A0E-E80AEEE5397B}">
  <dimension ref="A1:B58"/>
  <sheetViews>
    <sheetView workbookViewId="0">
      <selection activeCell="A8" sqref="A8"/>
    </sheetView>
  </sheetViews>
  <sheetFormatPr defaultRowHeight="15" x14ac:dyDescent="0.25"/>
  <cols>
    <col min="1" max="1" width="24" customWidth="1"/>
  </cols>
  <sheetData>
    <row r="1" spans="1:2" x14ac:dyDescent="0.25">
      <c r="A1" t="s">
        <v>24</v>
      </c>
    </row>
    <row r="2" spans="1:2" x14ac:dyDescent="0.25">
      <c r="A2" t="s">
        <v>34</v>
      </c>
      <c r="B2" t="s">
        <v>47</v>
      </c>
    </row>
    <row r="3" spans="1:2" x14ac:dyDescent="0.25">
      <c r="A3" t="s">
        <v>48</v>
      </c>
      <c r="B3" t="s">
        <v>49</v>
      </c>
    </row>
    <row r="4" spans="1:2" x14ac:dyDescent="0.25">
      <c r="A4" t="s">
        <v>67</v>
      </c>
    </row>
    <row r="5" spans="1:2" x14ac:dyDescent="0.25">
      <c r="A5" t="s">
        <v>72</v>
      </c>
    </row>
    <row r="6" spans="1:2" x14ac:dyDescent="0.25">
      <c r="A6" t="s">
        <v>81</v>
      </c>
    </row>
    <row r="7" spans="1:2" x14ac:dyDescent="0.25">
      <c r="A7" t="s">
        <v>94</v>
      </c>
    </row>
    <row r="8" spans="1:2" ht="105" x14ac:dyDescent="0.25">
      <c r="A8" s="1" t="s">
        <v>88</v>
      </c>
    </row>
    <row r="9" spans="1:2" ht="45" x14ac:dyDescent="0.25">
      <c r="A9" s="1" t="s">
        <v>90</v>
      </c>
    </row>
    <row r="10" spans="1:2" ht="45" x14ac:dyDescent="0.25">
      <c r="A10" s="1" t="s">
        <v>89</v>
      </c>
    </row>
    <row r="13" spans="1:2" ht="16.5" x14ac:dyDescent="0.3">
      <c r="A13" s="2" t="s">
        <v>116</v>
      </c>
    </row>
    <row r="15" spans="1:2" ht="16.5" x14ac:dyDescent="0.3">
      <c r="A15" s="2" t="s">
        <v>117</v>
      </c>
    </row>
    <row r="16" spans="1:2" x14ac:dyDescent="0.25">
      <c r="A16" t="s">
        <v>116</v>
      </c>
    </row>
    <row r="18" spans="1:1" x14ac:dyDescent="0.25">
      <c r="A18" s="3" t="s">
        <v>117</v>
      </c>
    </row>
    <row r="19" spans="1:1" x14ac:dyDescent="0.25">
      <c r="A19" s="3" t="s">
        <v>118</v>
      </c>
    </row>
    <row r="21" spans="1:1" x14ac:dyDescent="0.25">
      <c r="A21" t="s">
        <v>119</v>
      </c>
    </row>
    <row r="22" spans="1:1" x14ac:dyDescent="0.25">
      <c r="A22" t="s">
        <v>120</v>
      </c>
    </row>
    <row r="24" spans="1:1" x14ac:dyDescent="0.25">
      <c r="A24" t="s">
        <v>121</v>
      </c>
    </row>
    <row r="25" spans="1:1" x14ac:dyDescent="0.25">
      <c r="A25" t="s">
        <v>122</v>
      </c>
    </row>
    <row r="27" spans="1:1" x14ac:dyDescent="0.25">
      <c r="A27" s="3" t="s">
        <v>123</v>
      </c>
    </row>
    <row r="28" spans="1:1" x14ac:dyDescent="0.25">
      <c r="A28" s="3" t="s">
        <v>124</v>
      </c>
    </row>
    <row r="30" spans="1:1" x14ac:dyDescent="0.25">
      <c r="A30" t="s">
        <v>125</v>
      </c>
    </row>
    <row r="31" spans="1:1" x14ac:dyDescent="0.25">
      <c r="A31" t="s">
        <v>126</v>
      </c>
    </row>
    <row r="33" spans="1:1" x14ac:dyDescent="0.25">
      <c r="A33" s="3" t="s">
        <v>127</v>
      </c>
    </row>
    <row r="34" spans="1:1" x14ac:dyDescent="0.25">
      <c r="A34" s="3" t="s">
        <v>128</v>
      </c>
    </row>
    <row r="36" spans="1:1" x14ac:dyDescent="0.25">
      <c r="A36" s="3" t="s">
        <v>129</v>
      </c>
    </row>
    <row r="37" spans="1:1" x14ac:dyDescent="0.25">
      <c r="A37" s="3" t="s">
        <v>130</v>
      </c>
    </row>
    <row r="39" spans="1:1" x14ac:dyDescent="0.25">
      <c r="A39" t="s">
        <v>131</v>
      </c>
    </row>
    <row r="40" spans="1:1" x14ac:dyDescent="0.25">
      <c r="A40" t="s">
        <v>132</v>
      </c>
    </row>
    <row r="41" spans="1:1" x14ac:dyDescent="0.25">
      <c r="A41" t="s">
        <v>133</v>
      </c>
    </row>
    <row r="42" spans="1:1" x14ac:dyDescent="0.25">
      <c r="A42" t="s">
        <v>134</v>
      </c>
    </row>
    <row r="43" spans="1:1" x14ac:dyDescent="0.25">
      <c r="A43" t="s">
        <v>135</v>
      </c>
    </row>
    <row r="45" spans="1:1" x14ac:dyDescent="0.25">
      <c r="A45" t="s">
        <v>136</v>
      </c>
    </row>
    <row r="46" spans="1:1" x14ac:dyDescent="0.25">
      <c r="A46" t="s">
        <v>137</v>
      </c>
    </row>
    <row r="47" spans="1:1" x14ac:dyDescent="0.25">
      <c r="A47" t="s">
        <v>138</v>
      </c>
    </row>
    <row r="48" spans="1:1" x14ac:dyDescent="0.25">
      <c r="A48" t="s">
        <v>139</v>
      </c>
    </row>
    <row r="49" spans="1:2" x14ac:dyDescent="0.25">
      <c r="A49" t="s">
        <v>140</v>
      </c>
    </row>
    <row r="50" spans="1:2" x14ac:dyDescent="0.25">
      <c r="A50" t="s">
        <v>141</v>
      </c>
    </row>
    <row r="51" spans="1:2" x14ac:dyDescent="0.25">
      <c r="A51" t="s">
        <v>142</v>
      </c>
    </row>
    <row r="53" spans="1:2" x14ac:dyDescent="0.25">
      <c r="A53" t="s">
        <v>435</v>
      </c>
      <c r="B53" t="s">
        <v>436</v>
      </c>
    </row>
    <row r="54" spans="1:2" x14ac:dyDescent="0.25">
      <c r="B54" t="s">
        <v>437</v>
      </c>
    </row>
    <row r="55" spans="1:2" x14ac:dyDescent="0.25">
      <c r="B55" t="s">
        <v>439</v>
      </c>
    </row>
    <row r="56" spans="1:2" x14ac:dyDescent="0.25">
      <c r="B56" t="s">
        <v>438</v>
      </c>
    </row>
    <row r="58" spans="1:2" x14ac:dyDescent="0.25">
      <c r="B58" t="s">
        <v>440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10AE-760C-4A47-8826-0965C1875661}">
  <dimension ref="A1:C42"/>
  <sheetViews>
    <sheetView topLeftCell="A103" workbookViewId="0">
      <selection activeCell="D38" sqref="D38"/>
    </sheetView>
  </sheetViews>
  <sheetFormatPr defaultColWidth="47" defaultRowHeight="15" x14ac:dyDescent="0.25"/>
  <cols>
    <col min="1" max="1" width="6" customWidth="1"/>
    <col min="2" max="2" width="50.7109375" customWidth="1"/>
    <col min="3" max="3" width="13.42578125" bestFit="1" customWidth="1"/>
  </cols>
  <sheetData>
    <row r="1" spans="1:3" ht="24" x14ac:dyDescent="0.25">
      <c r="A1" s="12"/>
    </row>
    <row r="3" spans="1:3" x14ac:dyDescent="0.25">
      <c r="A3" s="13" t="s">
        <v>206</v>
      </c>
      <c r="B3" s="13" t="s">
        <v>207</v>
      </c>
      <c r="C3" s="13" t="s">
        <v>2</v>
      </c>
    </row>
    <row r="4" spans="1:3" x14ac:dyDescent="0.25">
      <c r="A4" s="8">
        <v>1</v>
      </c>
      <c r="B4" s="14" t="s">
        <v>209</v>
      </c>
      <c r="C4" s="8" t="s">
        <v>210</v>
      </c>
    </row>
    <row r="5" spans="1:3" ht="30" x14ac:dyDescent="0.25">
      <c r="A5" s="8">
        <v>2</v>
      </c>
      <c r="B5" s="14" t="s">
        <v>214</v>
      </c>
      <c r="C5" s="8" t="s">
        <v>208</v>
      </c>
    </row>
    <row r="6" spans="1:3" ht="30" x14ac:dyDescent="0.25">
      <c r="A6" s="8">
        <v>3</v>
      </c>
      <c r="B6" s="14" t="s">
        <v>213</v>
      </c>
      <c r="C6" s="8" t="s">
        <v>210</v>
      </c>
    </row>
    <row r="7" spans="1:3" ht="30" x14ac:dyDescent="0.25">
      <c r="A7" s="8">
        <v>4</v>
      </c>
      <c r="B7" s="14" t="s">
        <v>212</v>
      </c>
      <c r="C7" s="8" t="s">
        <v>210</v>
      </c>
    </row>
    <row r="8" spans="1:3" ht="30" x14ac:dyDescent="0.25">
      <c r="A8" s="8">
        <v>5</v>
      </c>
      <c r="B8" s="14" t="s">
        <v>211</v>
      </c>
      <c r="C8" s="8" t="s">
        <v>208</v>
      </c>
    </row>
    <row r="9" spans="1:3" x14ac:dyDescent="0.25">
      <c r="B9" t="s">
        <v>216</v>
      </c>
      <c r="C9" t="s">
        <v>208</v>
      </c>
    </row>
    <row r="11" spans="1:3" x14ac:dyDescent="0.25">
      <c r="A11" s="13" t="s">
        <v>206</v>
      </c>
      <c r="B11" s="13" t="s">
        <v>1</v>
      </c>
      <c r="C11" s="13" t="s">
        <v>2</v>
      </c>
    </row>
    <row r="12" spans="1:3" ht="30" x14ac:dyDescent="0.25">
      <c r="A12" s="8">
        <v>1</v>
      </c>
      <c r="B12" s="14" t="s">
        <v>215</v>
      </c>
      <c r="C12" s="8" t="s">
        <v>208</v>
      </c>
    </row>
    <row r="13" spans="1:3" x14ac:dyDescent="0.25">
      <c r="A13" s="8">
        <v>2</v>
      </c>
      <c r="B13" s="14" t="s">
        <v>219</v>
      </c>
      <c r="C13" s="8" t="s">
        <v>208</v>
      </c>
    </row>
    <row r="14" spans="1:3" x14ac:dyDescent="0.25">
      <c r="A14" s="8">
        <v>3</v>
      </c>
      <c r="B14" s="14" t="s">
        <v>220</v>
      </c>
      <c r="C14" s="8" t="s">
        <v>210</v>
      </c>
    </row>
    <row r="15" spans="1:3" ht="30" x14ac:dyDescent="0.25">
      <c r="A15" s="8">
        <v>4</v>
      </c>
      <c r="B15" s="14" t="s">
        <v>221</v>
      </c>
      <c r="C15" s="8" t="s">
        <v>222</v>
      </c>
    </row>
    <row r="16" spans="1:3" x14ac:dyDescent="0.25">
      <c r="A16" s="8">
        <v>5</v>
      </c>
      <c r="B16" s="14" t="s">
        <v>217</v>
      </c>
      <c r="C16" s="8" t="s">
        <v>210</v>
      </c>
    </row>
    <row r="17" spans="1:3" x14ac:dyDescent="0.25">
      <c r="A17" s="8">
        <v>6</v>
      </c>
      <c r="B17" s="14" t="s">
        <v>218</v>
      </c>
      <c r="C17" s="8" t="s">
        <v>210</v>
      </c>
    </row>
    <row r="18" spans="1:3" ht="18" x14ac:dyDescent="0.25">
      <c r="A18" s="15" t="s">
        <v>230</v>
      </c>
      <c r="B18" s="16"/>
      <c r="C18" s="16"/>
    </row>
    <row r="20" spans="1:3" x14ac:dyDescent="0.25">
      <c r="A20" s="13" t="s">
        <v>206</v>
      </c>
      <c r="B20" s="13" t="s">
        <v>1</v>
      </c>
      <c r="C20" s="13" t="s">
        <v>2</v>
      </c>
    </row>
    <row r="21" spans="1:3" x14ac:dyDescent="0.25">
      <c r="A21" s="8">
        <v>1</v>
      </c>
      <c r="B21" s="14" t="s">
        <v>223</v>
      </c>
      <c r="C21" s="8" t="s">
        <v>210</v>
      </c>
    </row>
    <row r="22" spans="1:3" ht="30" x14ac:dyDescent="0.25">
      <c r="A22" s="8">
        <v>2</v>
      </c>
      <c r="B22" s="14" t="s">
        <v>224</v>
      </c>
      <c r="C22" s="8" t="s">
        <v>210</v>
      </c>
    </row>
    <row r="23" spans="1:3" x14ac:dyDescent="0.25">
      <c r="A23" s="8">
        <v>3</v>
      </c>
      <c r="B23" s="14" t="s">
        <v>225</v>
      </c>
      <c r="C23" s="8" t="s">
        <v>210</v>
      </c>
    </row>
    <row r="25" spans="1:3" ht="30" x14ac:dyDescent="0.25">
      <c r="A25" s="8">
        <v>1</v>
      </c>
      <c r="B25" s="14" t="s">
        <v>226</v>
      </c>
      <c r="C25" s="14" t="s">
        <v>91</v>
      </c>
    </row>
    <row r="26" spans="1:3" ht="30" x14ac:dyDescent="0.25">
      <c r="A26" s="8">
        <v>2</v>
      </c>
      <c r="B26" s="14" t="s">
        <v>227</v>
      </c>
      <c r="C26" s="14" t="s">
        <v>91</v>
      </c>
    </row>
    <row r="27" spans="1:3" ht="30" x14ac:dyDescent="0.25">
      <c r="A27" s="8">
        <v>3</v>
      </c>
      <c r="B27" s="14" t="s">
        <v>228</v>
      </c>
      <c r="C27" s="14" t="s">
        <v>91</v>
      </c>
    </row>
    <row r="28" spans="1:3" x14ac:dyDescent="0.25">
      <c r="A28" s="8">
        <v>4</v>
      </c>
      <c r="B28" s="14" t="s">
        <v>229</v>
      </c>
      <c r="C28" s="14" t="s">
        <v>208</v>
      </c>
    </row>
    <row r="29" spans="1:3" x14ac:dyDescent="0.25">
      <c r="A29" s="8">
        <v>5</v>
      </c>
      <c r="B29" s="14" t="s">
        <v>231</v>
      </c>
      <c r="C29" s="14" t="s">
        <v>208</v>
      </c>
    </row>
    <row r="30" spans="1:3" x14ac:dyDescent="0.25">
      <c r="A30" s="20" t="s">
        <v>206</v>
      </c>
      <c r="B30" s="21" t="s">
        <v>1</v>
      </c>
      <c r="C30" s="21" t="s">
        <v>2</v>
      </c>
    </row>
    <row r="31" spans="1:3" ht="30" x14ac:dyDescent="0.25">
      <c r="A31" s="17">
        <v>1</v>
      </c>
      <c r="B31" s="18" t="s">
        <v>215</v>
      </c>
      <c r="C31" s="19" t="s">
        <v>208</v>
      </c>
    </row>
    <row r="32" spans="1:3" ht="30" x14ac:dyDescent="0.25">
      <c r="A32" s="17">
        <v>2</v>
      </c>
      <c r="B32" s="18" t="s">
        <v>232</v>
      </c>
      <c r="C32" s="19" t="s">
        <v>208</v>
      </c>
    </row>
    <row r="33" spans="1:3" x14ac:dyDescent="0.25">
      <c r="A33" s="17">
        <v>3</v>
      </c>
      <c r="B33" s="18" t="s">
        <v>233</v>
      </c>
      <c r="C33" s="19" t="s">
        <v>210</v>
      </c>
    </row>
    <row r="34" spans="1:3" ht="45" x14ac:dyDescent="0.25">
      <c r="A34" s="17">
        <v>4</v>
      </c>
      <c r="B34" s="18" t="s">
        <v>221</v>
      </c>
      <c r="C34" s="19" t="s">
        <v>222</v>
      </c>
    </row>
    <row r="35" spans="1:3" x14ac:dyDescent="0.25">
      <c r="A35" s="17">
        <v>5</v>
      </c>
      <c r="B35" s="18" t="s">
        <v>217</v>
      </c>
      <c r="C35" s="19" t="s">
        <v>210</v>
      </c>
    </row>
    <row r="36" spans="1:3" x14ac:dyDescent="0.25">
      <c r="A36" s="17">
        <v>6</v>
      </c>
      <c r="B36" s="18" t="s">
        <v>218</v>
      </c>
      <c r="C36" s="19" t="s">
        <v>210</v>
      </c>
    </row>
    <row r="37" spans="1:3" ht="30" x14ac:dyDescent="0.25">
      <c r="A37" s="17">
        <v>7</v>
      </c>
      <c r="B37" s="18" t="s">
        <v>223</v>
      </c>
      <c r="C37" s="19" t="s">
        <v>210</v>
      </c>
    </row>
    <row r="38" spans="1:3" ht="30" x14ac:dyDescent="0.25">
      <c r="A38" s="17">
        <v>8</v>
      </c>
      <c r="B38" s="14" t="s">
        <v>226</v>
      </c>
      <c r="C38" s="14" t="s">
        <v>91</v>
      </c>
    </row>
    <row r="39" spans="1:3" ht="30" x14ac:dyDescent="0.25">
      <c r="A39" s="17">
        <v>9</v>
      </c>
      <c r="B39" s="14" t="s">
        <v>227</v>
      </c>
      <c r="C39" s="14" t="s">
        <v>91</v>
      </c>
    </row>
    <row r="40" spans="1:3" ht="30" x14ac:dyDescent="0.25">
      <c r="A40" s="17">
        <v>10</v>
      </c>
      <c r="B40" s="14" t="s">
        <v>228</v>
      </c>
      <c r="C40" s="14" t="s">
        <v>91</v>
      </c>
    </row>
    <row r="41" spans="1:3" x14ac:dyDescent="0.25">
      <c r="A41" s="17">
        <v>11</v>
      </c>
      <c r="B41" s="14" t="s">
        <v>229</v>
      </c>
      <c r="C41" s="14" t="s">
        <v>208</v>
      </c>
    </row>
    <row r="42" spans="1:3" x14ac:dyDescent="0.25">
      <c r="A42" s="17">
        <v>12</v>
      </c>
      <c r="B42" s="14" t="s">
        <v>231</v>
      </c>
      <c r="C42" s="14" t="s">
        <v>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12057-78A0-4164-A375-57FB1D2071B6}">
  <dimension ref="A1:D6"/>
  <sheetViews>
    <sheetView workbookViewId="0">
      <selection activeCell="C3" sqref="C3"/>
    </sheetView>
  </sheetViews>
  <sheetFormatPr defaultRowHeight="15" x14ac:dyDescent="0.25"/>
  <cols>
    <col min="1" max="1" width="12.28515625" bestFit="1" customWidth="1"/>
    <col min="2" max="2" width="111.140625" bestFit="1" customWidth="1"/>
    <col min="3" max="3" width="39.7109375" customWidth="1"/>
  </cols>
  <sheetData>
    <row r="1" spans="1:4" x14ac:dyDescent="0.25">
      <c r="A1" t="s">
        <v>237</v>
      </c>
      <c r="B1" t="s">
        <v>238</v>
      </c>
      <c r="C1" t="s">
        <v>243</v>
      </c>
      <c r="D1" t="s">
        <v>29</v>
      </c>
    </row>
    <row r="2" spans="1:4" x14ac:dyDescent="0.25">
      <c r="A2" t="s">
        <v>236</v>
      </c>
      <c r="B2" t="s">
        <v>242</v>
      </c>
      <c r="D2" t="s">
        <v>240</v>
      </c>
    </row>
    <row r="3" spans="1:4" ht="105" x14ac:dyDescent="0.25">
      <c r="A3" t="s">
        <v>239</v>
      </c>
      <c r="B3" s="1" t="s">
        <v>245</v>
      </c>
      <c r="C3" s="1" t="s">
        <v>244</v>
      </c>
      <c r="D3" t="s">
        <v>241</v>
      </c>
    </row>
    <row r="4" spans="1:4" x14ac:dyDescent="0.25">
      <c r="A4" t="s">
        <v>247</v>
      </c>
      <c r="B4" t="s">
        <v>251</v>
      </c>
      <c r="D4" s="22" t="s">
        <v>249</v>
      </c>
    </row>
    <row r="5" spans="1:4" x14ac:dyDescent="0.25">
      <c r="A5" t="s">
        <v>248</v>
      </c>
      <c r="B5" t="s">
        <v>252</v>
      </c>
      <c r="D5" t="s">
        <v>250</v>
      </c>
    </row>
    <row r="6" spans="1:4" x14ac:dyDescent="0.25">
      <c r="A6" t="s">
        <v>246</v>
      </c>
      <c r="B6" t="s">
        <v>252</v>
      </c>
      <c r="D6" t="s">
        <v>253</v>
      </c>
    </row>
  </sheetData>
  <hyperlinks>
    <hyperlink ref="D4" r:id="rId1" xr:uid="{4A955B1B-9352-4EEC-9415-9BF00C91E99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53315F73D0024C8F3F9738BB96C870" ma:contentTypeVersion="19" ma:contentTypeDescription="Create a new document." ma:contentTypeScope="" ma:versionID="acdf4e2c66d61f4a8f38e0310eb9d140">
  <xsd:schema xmlns:xsd="http://www.w3.org/2001/XMLSchema" xmlns:xs="http://www.w3.org/2001/XMLSchema" xmlns:p="http://schemas.microsoft.com/office/2006/metadata/properties" xmlns:ns2="3f076dc2-fbdd-4702-96c7-7236b1cfcbbd" xmlns:ns3="5ca4f4e7-c624-4caf-b3e6-c8f2a2497a43" targetNamespace="http://schemas.microsoft.com/office/2006/metadata/properties" ma:root="true" ma:fieldsID="866a419b492f5800c1c2d7492206ecf9" ns2:_="" ns3:_="">
    <xsd:import namespace="3f076dc2-fbdd-4702-96c7-7236b1cfcbbd"/>
    <xsd:import namespace="5ca4f4e7-c624-4caf-b3e6-c8f2a2497a4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_Flow_SignoffStatu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76dc2-fbdd-4702-96c7-7236b1cfc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b71a908-9dae-4f72-9424-e8ff7903fbc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ca4f4e7-c624-4caf-b3e6-c8f2a2497a4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7d806d1-ead7-4962-917e-987d4e583348}" ma:internalName="TaxCatchAll" ma:showField="CatchAllData" ma:web="5ca4f4e7-c624-4caf-b3e6-c8f2a2497a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3f076dc2-fbdd-4702-96c7-7236b1cfcbbd" xsi:nil="true"/>
    <lcf76f155ced4ddcb4097134ff3c332f xmlns="3f076dc2-fbdd-4702-96c7-7236b1cfcbbd">
      <Terms xmlns="http://schemas.microsoft.com/office/infopath/2007/PartnerControls"/>
    </lcf76f155ced4ddcb4097134ff3c332f>
    <TaxCatchAll xmlns="5ca4f4e7-c624-4caf-b3e6-c8f2a2497a43" xsi:nil="true"/>
  </documentManagement>
</p:properties>
</file>

<file path=customXml/itemProps1.xml><?xml version="1.0" encoding="utf-8"?>
<ds:datastoreItem xmlns:ds="http://schemas.openxmlformats.org/officeDocument/2006/customXml" ds:itemID="{A6DB067D-0F27-4FC0-8985-84D59EA420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76dc2-fbdd-4702-96c7-7236b1cfcbbd"/>
    <ds:schemaRef ds:uri="5ca4f4e7-c624-4caf-b3e6-c8f2a2497a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237E3A-24C8-4EE3-ACF8-5198E38622AF}">
  <ds:schemaRefs>
    <ds:schemaRef ds:uri="http://schemas.microsoft.com/sharepoint/v3/contenttype/forms"/>
  </ds:schemaRefs>
</ds:datastoreItem>
</file>

<file path=customXml/itemProps3.xml><?xml version="1.0" encoding="utf-8"?>
<ds:datastoreItem xmlns:ds="http://schemas.openxmlformats.org/officeDocument/2006/customXml" ds:itemID="{2D956716-2D7E-4237-807D-5E4441DBC012}">
  <ds:schemaRefs>
    <ds:schemaRef ds:uri="http://schemas.microsoft.com/office/2006/metadata/properties"/>
    <ds:schemaRef ds:uri="http://purl.org/dc/terms/"/>
    <ds:schemaRef ds:uri="3f076dc2-fbdd-4702-96c7-7236b1cfcbbd"/>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5ca4f4e7-c624-4caf-b3e6-c8f2a2497a43"/>
    <ds:schemaRef ds:uri="http://www.w3.org/XML/1998/namespace"/>
    <ds:schemaRef ds:uri="http://purl.org/dc/dcmitype/"/>
  </ds:schemaRefs>
</ds:datastoreItem>
</file>

<file path=docMetadata/LabelInfo.xml><?xml version="1.0" encoding="utf-8"?>
<clbl:labelList xmlns:clbl="http://schemas.microsoft.com/office/2020/mipLabelMetadata">
  <clbl:label id="{189c1a2f-03d3-4788-bafa-4d9775e75610}" enabled="1" method="Privileged" siteId="{c19239e5-1337-436d-800a-1b4283c280d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Environment_ServerSystem_List</vt:lpstr>
      <vt:lpstr>RACI</vt:lpstr>
      <vt:lpstr>CI.CD OpenShift Steps</vt:lpstr>
      <vt:lpstr>CI.CD OnPrem Steps</vt:lpstr>
      <vt:lpstr>Truc Replatform Steps</vt:lpstr>
      <vt:lpstr>Note</vt:lpstr>
      <vt:lpstr>Sheet1</vt:lpstr>
      <vt:lpstr>CI</vt:lpstr>
      <vt:lpstr>E</vt:lpstr>
      <vt:lpstr>Final_Step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Truong Nguyen [Tech/System Architecture]</dc:creator>
  <cp:lastModifiedBy>Khanh, Truong Nguyen [Tech/System Architecture]</cp:lastModifiedBy>
  <dcterms:created xsi:type="dcterms:W3CDTF">2026-01-16T07:08:36Z</dcterms:created>
  <dcterms:modified xsi:type="dcterms:W3CDTF">2026-02-06T11:23:47Z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0x0101003A53315F73D0024C8F3F9738BB96C870</vt:lpwstr>
  </property>
  <property fmtid="{D5CDD505-2E9C-101B-9397-08002B2CF9AE}" pid="3" name="MediaServiceImageTags">
    <vt:lpwstr/>
  </property>
</Properties>
</file>