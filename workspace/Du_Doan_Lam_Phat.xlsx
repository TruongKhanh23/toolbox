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D:\Work\"/>
    </mc:Choice>
  </mc:AlternateContent>
  <xr:revisionPtr revIDLastSave="0" documentId="13_ncr:1_{49FAC695-EB24-4D7A-B99E-FEDB4C065523}" xr6:coauthVersionLast="47" xr6:coauthVersionMax="47" xr10:uidLastSave="{00000000-0000-0000-0000-000000000000}"/>
  <bookViews>
    <workbookView xWindow="-28910" yWindow="1630" windowWidth="29020" windowHeight="15820" activeTab="2" xr2:uid="{639E8BC5-1783-4305-AE7B-041856618761}"/>
  </bookViews>
  <sheets>
    <sheet name="Dự đoán giá nhà" sheetId="3" r:id="rId1"/>
    <sheet name="Giá nhà hiện tại" sheetId="4" r:id="rId2"/>
    <sheet name="Master Data" sheetId="2" r:id="rId3"/>
  </sheets>
  <definedNames>
    <definedName name="_xlnm._FilterDatabase" localSheetId="2" hidden="1">'Master Data'!$AX$4:$BF$43</definedName>
    <definedName name="Loai_Thong_Tin">'Master Data'!$I$8:$I$9</definedName>
    <definedName name="Muc_Tieu">'Master Data'!$AL$5:$AL$9</definedName>
    <definedName name="To_Chuc">'Master Data'!$D$5:$D$20</definedName>
    <definedName name="Trang_Thai">'Master Data'!$I$5:$I$7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G6" i="2" l="1"/>
  <c r="BG7" i="2"/>
  <c r="BG8" i="2"/>
  <c r="BG9" i="2"/>
  <c r="BG10" i="2"/>
  <c r="BG11" i="2"/>
  <c r="BG12" i="2"/>
  <c r="BG13" i="2"/>
  <c r="BG14" i="2"/>
  <c r="BG15" i="2"/>
  <c r="BG16" i="2"/>
  <c r="BG17" i="2"/>
  <c r="BG18" i="2"/>
  <c r="BG19" i="2"/>
  <c r="BG20" i="2"/>
  <c r="BG21" i="2"/>
  <c r="BG22" i="2"/>
  <c r="BG23" i="2"/>
  <c r="BG24" i="2"/>
  <c r="BG25" i="2"/>
  <c r="BG26" i="2"/>
  <c r="BG27" i="2"/>
  <c r="BG28" i="2"/>
  <c r="BG29" i="2"/>
  <c r="BG30" i="2"/>
  <c r="BG31" i="2"/>
  <c r="BG32" i="2"/>
  <c r="BG33" i="2"/>
  <c r="BG34" i="2"/>
  <c r="BG35" i="2"/>
  <c r="BG36" i="2"/>
  <c r="BG37" i="2"/>
  <c r="BG38" i="2"/>
  <c r="BG39" i="2"/>
  <c r="BG40" i="2"/>
  <c r="BG41" i="2"/>
  <c r="BG42" i="2"/>
  <c r="BG43" i="2"/>
  <c r="BG44" i="2"/>
  <c r="BG45" i="2"/>
  <c r="BG46" i="2"/>
  <c r="BG47" i="2"/>
  <c r="BG48" i="2"/>
  <c r="BG49" i="2"/>
  <c r="BG50" i="2"/>
  <c r="BG5" i="2"/>
  <c r="BE6" i="2"/>
  <c r="BE7" i="2"/>
  <c r="BE8" i="2"/>
  <c r="BE9" i="2"/>
  <c r="BE10" i="2"/>
  <c r="BE11" i="2"/>
  <c r="BE12" i="2"/>
  <c r="BE13" i="2"/>
  <c r="BE14" i="2"/>
  <c r="BE15" i="2"/>
  <c r="BE16" i="2"/>
  <c r="BE17" i="2"/>
  <c r="BE18" i="2"/>
  <c r="BE19" i="2"/>
  <c r="BE20" i="2"/>
  <c r="BE21" i="2"/>
  <c r="BE22" i="2"/>
  <c r="BE23" i="2"/>
  <c r="BE24" i="2"/>
  <c r="BE25" i="2"/>
  <c r="BE26" i="2"/>
  <c r="BE27" i="2"/>
  <c r="BE28" i="2"/>
  <c r="BE29" i="2"/>
  <c r="BE30" i="2"/>
  <c r="BE31" i="2"/>
  <c r="BE32" i="2"/>
  <c r="BE33" i="2"/>
  <c r="BE34" i="2"/>
  <c r="BE35" i="2"/>
  <c r="BE36" i="2"/>
  <c r="BE37" i="2"/>
  <c r="BE38" i="2"/>
  <c r="BE39" i="2"/>
  <c r="BE40" i="2"/>
  <c r="BE41" i="2"/>
  <c r="BE42" i="2"/>
  <c r="BE43" i="2"/>
  <c r="BE44" i="2"/>
  <c r="BE45" i="2"/>
  <c r="BE46" i="2"/>
  <c r="BE47" i="2"/>
  <c r="BE48" i="2"/>
  <c r="BE49" i="2"/>
  <c r="BE50" i="2"/>
  <c r="BE5" i="2"/>
  <c r="B5" i="2" a="1"/>
  <c r="B5" i="2" s="1"/>
  <c r="K5" i="2"/>
  <c r="K6" i="2" s="1"/>
  <c r="K7" i="2" s="1"/>
  <c r="K8" i="2" s="1"/>
  <c r="K9" i="2" s="1"/>
  <c r="K10" i="2" s="1"/>
  <c r="K11" i="2" s="1"/>
  <c r="K12" i="2" s="1"/>
  <c r="K13" i="2" s="1"/>
  <c r="K14" i="2" s="1"/>
  <c r="K15" i="2" s="1"/>
  <c r="K16" i="2" s="1"/>
  <c r="K17" i="2" s="1"/>
  <c r="K18" i="2" s="1"/>
  <c r="P9" i="2"/>
  <c r="P10" i="2"/>
  <c r="P11" i="2"/>
  <c r="P12" i="2"/>
  <c r="P13" i="2"/>
  <c r="P14" i="2"/>
  <c r="P15" i="2"/>
  <c r="P16" i="2"/>
  <c r="P17" i="2"/>
  <c r="P18" i="2"/>
  <c r="P5" i="2"/>
  <c r="P6" i="2" s="1"/>
  <c r="P7" i="2" s="1"/>
  <c r="P8" i="2" s="1"/>
  <c r="V23" i="2"/>
  <c r="V24" i="2"/>
  <c r="V25" i="2"/>
  <c r="V26" i="2"/>
  <c r="V27" i="2"/>
  <c r="V28" i="2"/>
  <c r="V29" i="2"/>
  <c r="V30" i="2"/>
  <c r="V5" i="2"/>
  <c r="V6" i="2" s="1"/>
  <c r="V7" i="2" s="1"/>
  <c r="V8" i="2" s="1"/>
  <c r="V9" i="2" s="1"/>
  <c r="V10" i="2" s="1"/>
  <c r="V11" i="2" s="1"/>
  <c r="V12" i="2" s="1"/>
  <c r="V13" i="2" s="1"/>
  <c r="V14" i="2" s="1"/>
  <c r="V15" i="2" s="1"/>
  <c r="V16" i="2" s="1"/>
  <c r="V17" i="2" s="1"/>
  <c r="V18" i="2" s="1"/>
  <c r="V19" i="2" s="1"/>
  <c r="V20" i="2" s="1"/>
  <c r="V21" i="2" s="1"/>
  <c r="V22" i="2" s="1"/>
  <c r="AF12" i="2"/>
  <c r="AF13" i="2"/>
  <c r="AF14" i="2"/>
  <c r="AF15" i="2"/>
  <c r="AF16" i="2"/>
  <c r="AF17" i="2"/>
  <c r="AF18" i="2"/>
  <c r="AF19" i="2"/>
  <c r="AF20" i="2"/>
  <c r="AF5" i="2"/>
  <c r="AF6" i="2" s="1"/>
  <c r="AF7" i="2" s="1"/>
  <c r="AF8" i="2" s="1"/>
  <c r="AF9" i="2" s="1"/>
  <c r="AF10" i="2" s="1"/>
  <c r="AF11" i="2" s="1"/>
  <c r="AK11" i="2"/>
  <c r="AK12" i="2"/>
  <c r="AK13" i="2"/>
  <c r="AK14" i="2"/>
  <c r="AK15" i="2"/>
  <c r="AK16" i="2"/>
  <c r="AK17" i="2"/>
  <c r="AK18" i="2"/>
  <c r="AK19" i="2"/>
  <c r="AK20" i="2"/>
  <c r="AK5" i="2"/>
  <c r="AK6" i="2" s="1"/>
  <c r="AK7" i="2" s="1"/>
  <c r="AK8" i="2" s="1"/>
  <c r="AK9" i="2" s="1"/>
  <c r="AK10" i="2" s="1"/>
  <c r="AQ16" i="2"/>
  <c r="AQ17" i="2"/>
  <c r="AQ18" i="2"/>
  <c r="AQ19" i="2"/>
  <c r="AQ20" i="2"/>
  <c r="AQ21" i="2"/>
  <c r="AQ22" i="2"/>
  <c r="AQ23" i="2"/>
  <c r="AQ24" i="2"/>
  <c r="AQ25" i="2"/>
  <c r="AQ26" i="2"/>
  <c r="AQ27" i="2"/>
  <c r="AQ28" i="2"/>
  <c r="AQ29" i="2"/>
  <c r="AQ30" i="2"/>
  <c r="AQ5" i="2"/>
  <c r="AQ6" i="2" s="1"/>
  <c r="AQ7" i="2" s="1"/>
  <c r="AQ8" i="2" s="1"/>
  <c r="AQ9" i="2" s="1"/>
  <c r="AQ10" i="2" s="1"/>
  <c r="AQ11" i="2" s="1"/>
  <c r="AQ12" i="2" s="1"/>
  <c r="AQ13" i="2" s="1"/>
  <c r="AQ14" i="2" s="1"/>
  <c r="AQ15" i="2" s="1"/>
  <c r="E2" i="2"/>
  <c r="F2" i="2"/>
  <c r="G2" i="2"/>
  <c r="H2" i="2"/>
  <c r="J2" i="2"/>
  <c r="K2" i="2"/>
  <c r="L2" i="2"/>
  <c r="M2" i="2"/>
  <c r="N2" i="2"/>
  <c r="O2" i="2"/>
  <c r="P2" i="2"/>
  <c r="Q2" i="2"/>
  <c r="R2" i="2"/>
  <c r="S2" i="2"/>
  <c r="T2" i="2"/>
  <c r="U2" i="2"/>
  <c r="V2" i="2"/>
  <c r="W2" i="2"/>
  <c r="X2" i="2"/>
  <c r="Y2" i="2"/>
  <c r="Z2" i="2"/>
  <c r="AA2" i="2"/>
  <c r="AB2" i="2"/>
  <c r="AC2" i="2"/>
  <c r="AD2" i="2"/>
  <c r="AE2" i="2"/>
  <c r="AF2" i="2"/>
  <c r="AG2" i="2"/>
  <c r="AH2" i="2"/>
  <c r="AI2" i="2"/>
  <c r="AJ2" i="2"/>
  <c r="AK2" i="2"/>
  <c r="AL2" i="2"/>
  <c r="AM2" i="2"/>
  <c r="AN2" i="2"/>
  <c r="AO2" i="2"/>
  <c r="AP2" i="2"/>
  <c r="AQ2" i="2"/>
  <c r="AR2" i="2"/>
  <c r="AS2" i="2"/>
  <c r="AT2" i="2"/>
  <c r="AU2" i="2"/>
  <c r="AV2" i="2"/>
  <c r="AW2" i="2"/>
  <c r="AX2" i="2"/>
  <c r="AZ2" i="2"/>
  <c r="BA2" i="2"/>
  <c r="BB2" i="2"/>
  <c r="BC2" i="2"/>
  <c r="BD2" i="2"/>
  <c r="BF2" i="2"/>
  <c r="BG2" i="2"/>
  <c r="BH2" i="2"/>
  <c r="BI2" i="2"/>
  <c r="BJ2" i="2"/>
  <c r="BK2" i="2"/>
  <c r="BL2" i="2"/>
  <c r="BM2" i="2"/>
  <c r="BN2" i="2"/>
  <c r="BO2" i="2"/>
  <c r="BP2" i="2"/>
  <c r="BQ2" i="2"/>
  <c r="BR2" i="2"/>
  <c r="BS2" i="2"/>
  <c r="BT2" i="2"/>
  <c r="BU2" i="2"/>
  <c r="BV2" i="2"/>
  <c r="BW2" i="2"/>
  <c r="BX2" i="2"/>
  <c r="BY2" i="2"/>
  <c r="BZ2" i="2"/>
  <c r="CA2" i="2"/>
  <c r="CB2" i="2"/>
  <c r="CC2" i="2"/>
  <c r="CD2" i="2"/>
  <c r="CE2" i="2"/>
  <c r="CF2" i="2"/>
  <c r="CG2" i="2"/>
  <c r="CH2" i="2"/>
  <c r="CI2" i="2"/>
  <c r="CJ2" i="2"/>
  <c r="CK2" i="2"/>
  <c r="CL2" i="2"/>
  <c r="CM2" i="2"/>
  <c r="CN2" i="2"/>
  <c r="CO2" i="2"/>
  <c r="CP2" i="2"/>
  <c r="CQ2" i="2"/>
  <c r="CR2" i="2"/>
  <c r="CS2" i="2"/>
  <c r="CT2" i="2"/>
  <c r="CU2" i="2"/>
  <c r="CV2" i="2"/>
  <c r="CW2" i="2"/>
  <c r="CX2" i="2"/>
  <c r="CY2" i="2"/>
  <c r="CZ2" i="2"/>
  <c r="DA2" i="2"/>
  <c r="DB2" i="2"/>
  <c r="DC2" i="2"/>
  <c r="DD2" i="2"/>
  <c r="DE2" i="2"/>
  <c r="DF2" i="2"/>
  <c r="DG2" i="2"/>
  <c r="DH2" i="2"/>
  <c r="DI2" i="2"/>
  <c r="DJ2" i="2"/>
  <c r="DK2" i="2"/>
  <c r="DL2" i="2"/>
  <c r="DM2" i="2"/>
  <c r="DN2" i="2"/>
  <c r="DO2" i="2"/>
  <c r="DP2" i="2"/>
  <c r="DQ2" i="2"/>
  <c r="DR2" i="2"/>
  <c r="DS2" i="2"/>
  <c r="DT2" i="2"/>
  <c r="DU2" i="2"/>
  <c r="DV2" i="2"/>
  <c r="DW2" i="2"/>
  <c r="DX2" i="2"/>
  <c r="DY2" i="2"/>
  <c r="DZ2" i="2"/>
  <c r="EA2" i="2"/>
  <c r="EB2" i="2"/>
  <c r="EC2" i="2"/>
  <c r="ED2" i="2"/>
  <c r="EE2" i="2"/>
  <c r="EF2" i="2"/>
  <c r="EG2" i="2"/>
  <c r="EH2" i="2"/>
  <c r="EI2" i="2"/>
  <c r="EJ2" i="2"/>
  <c r="EK2" i="2"/>
  <c r="EL2" i="2"/>
  <c r="EM2" i="2"/>
  <c r="EN2" i="2"/>
  <c r="EO2" i="2"/>
  <c r="EP2" i="2"/>
  <c r="EQ2" i="2"/>
  <c r="ER2" i="2"/>
  <c r="AI6" i="2"/>
  <c r="AI7" i="2"/>
  <c r="AI8" i="2"/>
  <c r="AI9" i="2"/>
  <c r="AI10" i="2"/>
  <c r="AI5" i="2"/>
  <c r="AH6" i="2"/>
  <c r="AH7" i="2"/>
  <c r="AH8" i="2"/>
  <c r="AH9" i="2"/>
  <c r="AH10" i="2"/>
  <c r="AH5" i="2"/>
  <c r="D2" i="2"/>
  <c r="F3" i="3"/>
  <c r="F4" i="3"/>
  <c r="F5" i="3"/>
  <c r="F6" i="3"/>
  <c r="F7" i="3"/>
  <c r="F8" i="3"/>
  <c r="F9" i="3"/>
  <c r="F10" i="3"/>
  <c r="F11" i="3"/>
  <c r="F12" i="3"/>
  <c r="F2" i="3"/>
  <c r="D2" i="3"/>
  <c r="B3" i="3" s="1"/>
  <c r="D3" i="3" s="1"/>
  <c r="A5" i="2" l="1" a="1"/>
  <c r="A5" i="2" s="1"/>
  <c r="B4" i="3"/>
  <c r="D4" i="3" s="1"/>
  <c r="B5" i="3" s="1"/>
  <c r="D5" i="3" s="1"/>
  <c r="B6" i="3" s="1"/>
  <c r="D6" i="3" s="1"/>
  <c r="B7" i="3" s="1"/>
  <c r="D7" i="3" s="1"/>
  <c r="B8" i="3" s="1"/>
  <c r="D8" i="3" s="1"/>
  <c r="B9" i="3" s="1"/>
  <c r="D9" i="3" s="1"/>
  <c r="B10" i="3" s="1"/>
  <c r="D10" i="3" s="1"/>
  <c r="B11" i="3" s="1"/>
  <c r="D11" i="3" s="1"/>
  <c r="B12" i="3" s="1"/>
  <c r="D12"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<sst xmlns="http://schemas.openxmlformats.org/spreadsheetml/2006/main" count="732" uniqueCount="378">
  <si>
    <t>Inflation, consumer prices (annual %) - Viet Nam</t>
  </si>
  <si>
    <t>https://data.worldbank.org/indicator/FP.CPI.TOTL.ZG?locations=VN</t>
  </si>
  <si>
    <t>Link</t>
  </si>
  <si>
    <t>Dữ liệu lạm phát Việt Nam 2000–2025</t>
  </si>
  <si>
    <t>Tiêu đề tiếng Việt</t>
  </si>
  <si>
    <t>Tiêu đề tiếng Anh</t>
  </si>
  <si>
    <t>STT</t>
  </si>
  <si>
    <t>10-year expected inflation</t>
  </si>
  <si>
    <t>Lạm phát trung bình hằng năm trong 10 năm tới</t>
  </si>
  <si>
    <t>Tổ chức</t>
  </si>
  <si>
    <t>World Bank</t>
  </si>
  <si>
    <t>https://www.clevelandfed.org/indicators-and-data/inflation-expectations?utm_source=chatgpt.com</t>
  </si>
  <si>
    <t>Trading Economics</t>
  </si>
  <si>
    <t>Mô tả</t>
  </si>
  <si>
    <t>Tên tiếng Anh</t>
  </si>
  <si>
    <t>Tên tiếng Việt</t>
  </si>
  <si>
    <t>Federal Reserve Bank of Cleveland</t>
  </si>
  <si>
    <t>Ngân hàng Dự trữ Liên bang Cleveland</t>
  </si>
  <si>
    <t>Ngân hàng Thế giới</t>
  </si>
  <si>
    <t>Tổ chức tài chính quốc tế cung cấp các khoản vay và hỗ trợ phát triển cho các nước đang phát triển hằm mục tiêu giảm nghèo và thúc đẩy thịnh vượng chung</t>
  </si>
  <si>
    <t>một trong 12 ngân hàng khu vực của Cục Dự trữ Liên bang Hoa Kỳ (Fed)</t>
  </si>
  <si>
    <t>Nền tảng cung cấp dữ liệu kinh tế, chỉ số tài chính và phân tích thị trường cho hơn 200 quốc gia, bao gồm dữ liệu lịch sử, dự báo và thông tin cập nhật</t>
  </si>
  <si>
    <t>Vietnam Inflation Rate</t>
  </si>
  <si>
    <t>Tỷ lệ lạm phát của Việt Nam</t>
  </si>
  <si>
    <t>https://tradingeconomics.com/vietnam/inflation-cpi</t>
  </si>
  <si>
    <t>Năm</t>
  </si>
  <si>
    <t>Giá trị đầu kỳ (VNĐ)</t>
  </si>
  <si>
    <t>Giá trị dự kiến (VNĐ)</t>
  </si>
  <si>
    <t>Giá trị thực tế (VNĐ)</t>
  </si>
  <si>
    <t>Tiêu chí chính</t>
  </si>
  <si>
    <t>Tiêu chí cụ thể</t>
  </si>
  <si>
    <t>Mô tả / Gợi ý đánh giá</t>
  </si>
  <si>
    <t>Thuận tiện di chuyển</t>
  </si>
  <si>
    <t>Nên chọn phòng gần trường học hoặc nơi làm việc để tiết kiệm thời gian và chi phí đi lại.</t>
  </si>
  <si>
    <t>Giao thông</t>
  </si>
  <si>
    <t>Ưu tiên khu vực ít kẹt xe, có tuyến xe buýt công cộng, đường dễ đi và an toàn.</t>
  </si>
  <si>
    <t>Tiện ích xung quanh</t>
  </si>
  <si>
    <t>Gần chợ, siêu thị, cửa hàng tiện lợi, bệnh viện, trạm ATM giúp sinh hoạt hàng ngày thuận tiện.</t>
  </si>
  <si>
    <t>Xác định chi phí</t>
  </si>
  <si>
    <t>Lập kế hoạch bao gồm: tiền thuê, điện, nước, internet, gửi xe, chi phí phát sinh.</t>
  </si>
  <si>
    <t>Phù hợp với khả năng tài chính</t>
  </si>
  <si>
    <t>Tiền thuê nên chiếm tối đa 30–40% thu nhập hàng tháng để đảm bảo cân đối chi tiêu.</t>
  </si>
  <si>
    <t>Tình trạng phòng</t>
  </si>
  <si>
    <t>Kiểm tra tường, trần, sàn, cửa, hệ thống điện nước. Tránh phòng ẩm mốc hoặc xuống cấp.</t>
  </si>
  <si>
    <t>An ninh</t>
  </si>
  <si>
    <t>Ưu tiên phòng có khóa chắc, camera an ninh, cửa sắt, hoặc khu vực có bảo vệ.</t>
  </si>
  <si>
    <t>Thoáng mát &amp; ánh sáng</t>
  </si>
  <si>
    <t>Có cửa sổ, gió và ánh sáng tự nhiên; không bị hầm, bí, hoặc hướng nắng gắt.</t>
  </si>
  <si>
    <t>Thiết bị đi kèm</t>
  </si>
  <si>
    <t>Ghi rõ có sẵn giường, tủ, quạt, máy lạnh, bàn học… để so sánh giá thuê hợp lý.</t>
  </si>
  <si>
    <t>Yên tĩnh</t>
  </si>
  <si>
    <t>Nên chọn khu dân cư ít tiếng ồn, tránh gần đường lớn, quán nhậu, karaoke.</t>
  </si>
  <si>
    <t>Sạch sẽ &amp; vệ sinh chung</t>
  </si>
  <si>
    <t>Kiểm tra khu vực rác, nhà vệ sinh chung, hành lang, môi trường xung quanh.</t>
  </si>
  <si>
    <t>Đọc kỹ hợp đồng</t>
  </si>
  <si>
    <t>Xem rõ điều khoản: tiền thuê, cọc, thời hạn, quy định thanh toán, bồi thường.</t>
  </si>
  <si>
    <t>Thỏa thuận rõ ràng với chủ nhà</t>
  </si>
  <si>
    <t>Trao đổi trước về giờ giấc, khách đến chơi, vật nuôi, sửa chữa thiết bị…</t>
  </si>
  <si>
    <t>Thủ tục pháp lý</t>
  </si>
  <si>
    <t>Yêu cầu cung cấp giấy tờ sở hữu và làm thủ tục đăng ký tạm trú theo quy định.</t>
  </si>
  <si>
    <t>Vị trí</t>
  </si>
  <si>
    <t>Ngân sách</t>
  </si>
  <si>
    <t>Cơ sở vật chất &amp; tiện nghi</t>
  </si>
  <si>
    <t>Môi trường sống</t>
  </si>
  <si>
    <t>Hợp đồng &amp; quy định</t>
  </si>
  <si>
    <t>Danh sách Master Data</t>
  </si>
  <si>
    <t>Tên</t>
  </si>
  <si>
    <t>MD-0</t>
  </si>
  <si>
    <t>Chủ đề</t>
  </si>
  <si>
    <t>Lạm phát dự kiến (%)</t>
  </si>
  <si>
    <t>Lạm phát thực tế (%)</t>
  </si>
  <si>
    <t>Ngôi nhà mơ ước</t>
  </si>
  <si>
    <t>Phòng</t>
  </si>
  <si>
    <t>Nhu cầu</t>
  </si>
  <si>
    <t>Tên phòng</t>
  </si>
  <si>
    <t>Phòng ngủ chính</t>
  </si>
  <si>
    <t>Phòng ngủ phụ</t>
  </si>
  <si>
    <t>Phòng khách</t>
  </si>
  <si>
    <t>Phòng bếp</t>
  </si>
  <si>
    <t>Ban công</t>
  </si>
  <si>
    <t>Nhà vệ sinh chung bên ngoài</t>
  </si>
  <si>
    <t>Diện tích tối thiểu</t>
  </si>
  <si>
    <t>Diện tích lý tưởng</t>
  </si>
  <si>
    <t>Diện tích tối thiểu (m²)</t>
  </si>
  <si>
    <t>Diện tích lý tưởng (m²)</t>
  </si>
  <si>
    <t>Giường King size</t>
  </si>
  <si>
    <t>Giường 1.8×2.0m</t>
  </si>
  <si>
    <t>Tivi 55"</t>
  </si>
  <si>
    <t>Tivi cách giường 2.1–2.3m</t>
  </si>
  <si>
    <t>2 bàn làm việc</t>
  </si>
  <si>
    <t>Bàn 1.2×0.6m</t>
  </si>
  <si>
    <t>Tủ quần áo</t>
  </si>
  <si>
    <t>Tủ 2×0.6m</t>
  </si>
  <si>
    <t>Phòng tắm khép kín</t>
  </si>
  <si>
    <t>Bồn tắm 1.8×0.8m; lối đi tối thiểu 0.8m</t>
  </si>
  <si>
    <t>Giường Queen size</t>
  </si>
  <si>
    <t>Giường 1.6×2.0m</t>
  </si>
  <si>
    <t>Tivi 40"</t>
  </si>
  <si>
    <t>Tivi cách giường 1.6–2.0m</t>
  </si>
  <si>
    <t>Bộ sofa 10 người</t>
  </si>
  <si>
    <t>Sofa chữ L/U 4×3m</t>
  </si>
  <si>
    <t>Tivi 60"</t>
  </si>
  <si>
    <t>Tivi cách sofa 2.4–3.0m</t>
  </si>
  <si>
    <t>Bếp nấu</t>
  </si>
  <si>
    <t>Khu bếp dài 4m</t>
  </si>
  <si>
    <t>Bàn ăn 4 người</t>
  </si>
  <si>
    <t>Bàn ăn 2×1.5m; lối đi xung quanh 0.9m</t>
  </si>
  <si>
    <t>Trồng cây</t>
  </si>
  <si>
    <t>Diện tích ≥2×1.5m</t>
  </si>
  <si>
    <t>Máy giặt</t>
  </si>
  <si>
    <t>Khu vực để máy giặt</t>
  </si>
  <si>
    <t>Phơi đồ</t>
  </si>
  <si>
    <t>Khu vực phơi đồ</t>
  </si>
  <si>
    <t>Bồn cầu</t>
  </si>
  <si>
    <t>Tiện ích cơ bản</t>
  </si>
  <si>
    <t>Lavabo</t>
  </si>
  <si>
    <t>Khu tắm đứng</t>
  </si>
  <si>
    <t>Dài</t>
  </si>
  <si>
    <t>Rộng</t>
  </si>
  <si>
    <t>Khoảng trống</t>
  </si>
  <si>
    <t>Mục tiêu</t>
  </si>
  <si>
    <t>Chi tiết / Cụ thể</t>
  </si>
  <si>
    <t>Thời gian dự kiến</t>
  </si>
  <si>
    <t>Hành động cụ thể</t>
  </si>
  <si>
    <t>Có nhà và tự do tài chính</t>
  </si>
  <si>
    <t>Mua căn nhà [số phòng, vị trí cụ thể], đạt tự do tài chính với chi phí sinh hoạt hàng tháng X VNĐ</t>
  </si>
  <si>
    <t>10 năm</t>
  </si>
  <si>
    <t>Xác định giá nhà, tính chi phí tự do tài chính, lập kế hoạch tổng thể</t>
  </si>
  <si>
    <t>Biết được số tiền cần có</t>
  </si>
  <si>
    <t>Tính tổng chi phí mua nhà + quỹ đầu tư đủ chi phí sinh hoạt khi tự do tài chính</t>
  </si>
  <si>
    <t>1-2 tháng</t>
  </si>
  <si>
    <t>Nghiên cứu giá nhà, chi phí sinh hoạt, tính quỹ cần có</t>
  </si>
  <si>
    <t>Biết được số tiền cần đầu tư &amp; thời gian</t>
  </si>
  <si>
    <t>Tính toán số tiền đầu tư hàng tháng và thời gian cần để đạt mục tiêu</t>
  </si>
  <si>
    <t>Lập bảng dự báo đầu tư theo lãi suất kỳ vọng, phân chia giai đoạn: mua nhà, quỹ tự do tài chính</t>
  </si>
  <si>
    <t>Biết thu nhập cần thiết</t>
  </si>
  <si>
    <t>Xác định số tiền kiếm mỗi tháng để đủ đầu tư</t>
  </si>
  <si>
    <t>1 tháng</t>
  </si>
  <si>
    <t>Tính toán dựa trên tỷ lệ tiết kiệm / đầu tư, bổ sung nguồn thu nhập thêm nếu cần</t>
  </si>
  <si>
    <t>Lập kế hoạch hành động hàng tháng</t>
  </si>
  <si>
    <t>Học kỹ năng cần thiết, tăng thu nhập, tiết kiệm và đầu tư</t>
  </si>
  <si>
    <t>Hàng tháng / Hàng quý</t>
  </si>
  <si>
    <t>Liệt kê kỹ năng cần học, khóa học, kế hoạch tăng lương (%), theo dõi tiết kiệm và đầu tư hàng tháng</t>
  </si>
  <si>
    <t>Mục tiêu và hành động cụ thể</t>
  </si>
  <si>
    <t>Mục tiêu liên quan</t>
  </si>
  <si>
    <t>Thời hạn</t>
  </si>
  <si>
    <t>Trạng thái</t>
  </si>
  <si>
    <t>Ghi chú / Tiến độ</t>
  </si>
  <si>
    <t>2 tuần</t>
  </si>
  <si>
    <t>Liệt kê giá nhà theo khu vực, diện tích</t>
  </si>
  <si>
    <t>Tính chi phí sinh hoạt hàng tháng khi tự do tài chính</t>
  </si>
  <si>
    <t>Bao gồm ăn uống, đi lại, giải trí, y tế,…</t>
  </si>
  <si>
    <t>Lập bảng dự báo đầu tư hàng tháng</t>
  </si>
  <si>
    <t>Xác định lãi suất kỳ vọng, loại hình đầu tư</t>
  </si>
  <si>
    <t>Tính thu nhập cần thiết để đầu tư đủ mỗi tháng</t>
  </si>
  <si>
    <t>1 tuần</t>
  </si>
  <si>
    <t>Tính dựa trên tỷ lệ tiết kiệm, dự trù tăng thu nhập khác</t>
  </si>
  <si>
    <t>Liệt kê các kỹ năng cần học và khóa học tham gia</t>
  </si>
  <si>
    <t>Hàng tháng</t>
  </si>
  <si>
    <t>Ví dụ: đầu tư, quản lý tài chính, kỹ năng tăng thu nhập</t>
  </si>
  <si>
    <t>Lập kế hoạch tăng lương / thu nhập thêm</t>
  </si>
  <si>
    <t>Ví dụ: tăng lương 5%/tháng, freelance, kinh doanh phụ</t>
  </si>
  <si>
    <t>Lập kế hoạch tiết kiệm &amp; đầu tư hàng tháng</t>
  </si>
  <si>
    <t>Xác định số tiền tiết kiệm, số tiền đầu tư, theo dõi % đạt được</t>
  </si>
  <si>
    <t>Tracking tổng thể</t>
  </si>
  <si>
    <t>Kiểm tra tiến độ mỗi tuần</t>
  </si>
  <si>
    <t>Hàng tuần</t>
  </si>
  <si>
    <t>Note % hoàn thành, điều chỉnh kế hoạch nếu cần</t>
  </si>
  <si>
    <t>Liệt kê danh sách các khu vực muốn sống</t>
  </si>
  <si>
    <t>Nghiên cứu giá nhà mục tiêu cho từng khu vực muốn sống</t>
  </si>
  <si>
    <t>To Do</t>
  </si>
  <si>
    <t>In progress</t>
  </si>
  <si>
    <t>Done</t>
  </si>
  <si>
    <t>Tiêu chí chọn trọ, chọn nhà</t>
  </si>
  <si>
    <t>ID</t>
  </si>
  <si>
    <t>KhuVuc</t>
  </si>
  <si>
    <t>Quan</t>
  </si>
  <si>
    <t>LoaiThongTin</t>
  </si>
  <si>
    <t>NoiDung</t>
  </si>
  <si>
    <t>DoiTuongPhuHop</t>
  </si>
  <si>
    <t>GhiChu</t>
  </si>
  <si>
    <t>TP. Thủ Đức</t>
  </si>
  <si>
    <t>Ưu điểm</t>
  </si>
  <si>
    <t>Nhược điểm</t>
  </si>
  <si>
    <t>Khu Nam cao cấp</t>
  </si>
  <si>
    <t>Hồ Chí Minh</t>
  </si>
  <si>
    <t>Tỉnh Thành</t>
  </si>
  <si>
    <t>Danh sách các khu vực muốn sống</t>
  </si>
  <si>
    <t>NhomChuDe</t>
  </si>
  <si>
    <t>NoiDungChiTiet</t>
  </si>
  <si>
    <t>U01</t>
  </si>
  <si>
    <t>Gần trung tâm, di chuyển thuận tiện</t>
  </si>
  <si>
    <t>Dân văn phòng, doanh nhân</t>
  </si>
  <si>
    <t>U02</t>
  </si>
  <si>
    <t>Quy hoạch</t>
  </si>
  <si>
    <t>Khu vực quy hoạch mới, hiện đại</t>
  </si>
  <si>
    <t>Nhà đầu tư, chuyên gia</t>
  </si>
  <si>
    <t>U03</t>
  </si>
  <si>
    <t>Nhiều cây xanh, không gian thoáng</t>
  </si>
  <si>
    <t>Gia đình trẻ, người cao tuổi</t>
  </si>
  <si>
    <t>U04</t>
  </si>
  <si>
    <t>Giá trị BĐS</t>
  </si>
  <si>
    <t>Tiềm năng tăng giá, nhiều dự án mới</t>
  </si>
  <si>
    <t>Nhà đầu tư, người mua tích sản</t>
  </si>
  <si>
    <t>U05</t>
  </si>
  <si>
    <t>Tiện ích</t>
  </si>
  <si>
    <t>Đầy đủ tiện ích: trường, bệnh viện, TTTM</t>
  </si>
  <si>
    <t>Gia đình có con nhỏ</t>
  </si>
  <si>
    <t>U06</t>
  </si>
  <si>
    <t>Khu vực an ninh, dân trí cao</t>
  </si>
  <si>
    <t>Người nước ngoài, chuyên gia</t>
  </si>
  <si>
    <t>U07</t>
  </si>
  <si>
    <t>Giá cả</t>
  </si>
  <si>
    <t>Giá còn mềm so với trung tâm</t>
  </si>
  <si>
    <t>Người mua ở thật</t>
  </si>
  <si>
    <t>U08</t>
  </si>
  <si>
    <t>Kết nối</t>
  </si>
  <si>
    <t>Gần khu công nghệ cao, đại học</t>
  </si>
  <si>
    <t>Kỹ sư, sinh viên</t>
  </si>
  <si>
    <t>U09</t>
  </si>
  <si>
    <t>Cộng đồng</t>
  </si>
  <si>
    <t>Cộng đồng dân cư văn minh, ổn định</t>
  </si>
  <si>
    <t>Gia đình trung lưu</t>
  </si>
  <si>
    <t>U10</t>
  </si>
  <si>
    <t>Dịch vụ cao cấp</t>
  </si>
  <si>
    <t>Có trường quốc tế, bệnh viện quốc tế</t>
  </si>
  <si>
    <t>Gia đình thu nhập cao</t>
  </si>
  <si>
    <t>N01</t>
  </si>
  <si>
    <t>Kẹt xe, di chuyển khó, xa trung tâm</t>
  </si>
  <si>
    <t>N02</t>
  </si>
  <si>
    <t>Hạ tầng</t>
  </si>
  <si>
    <t>Hạ tầng cũ, đường nhỏ, dễ ngập</t>
  </si>
  <si>
    <t>N03</t>
  </si>
  <si>
    <t>Giá cao, chi phí sinh hoạt đắt đỏ</t>
  </si>
  <si>
    <t>N04</t>
  </si>
  <si>
    <t>Thiếu tiện ích nội khu, ít khu vui chơi</t>
  </si>
  <si>
    <t>N05</t>
  </si>
  <si>
    <t>Mật độ cao, ít cây xanh, ồn ào</t>
  </si>
  <si>
    <t>N06</t>
  </si>
  <si>
    <t>Dự án</t>
  </si>
  <si>
    <t>Ít dự án mới, nhà cũ</t>
  </si>
  <si>
    <t>N07</t>
  </si>
  <si>
    <t>Xa trung tâm, di chuyển 30–60 phút</t>
  </si>
  <si>
    <t>N08</t>
  </si>
  <si>
    <t>Quản lý</t>
  </si>
  <si>
    <t>Phí quản lý cao (chung cư, khu cao cấp)</t>
  </si>
  <si>
    <t>Giá trị</t>
  </si>
  <si>
    <t>Loại dữ liệu chủ</t>
  </si>
  <si>
    <t>Loại</t>
  </si>
  <si>
    <t>Loại thông tin</t>
  </si>
  <si>
    <t>TinhThanh</t>
  </si>
  <si>
    <t>MaMaster</t>
  </si>
  <si>
    <t>Quận 2</t>
  </si>
  <si>
    <t>Quận 9</t>
  </si>
  <si>
    <t>Quận Thủ Đức</t>
  </si>
  <si>
    <t>Trung tâm</t>
  </si>
  <si>
    <t>Quận 1</t>
  </si>
  <si>
    <t>Trung tâm hành chính, thương mại</t>
  </si>
  <si>
    <t>Quận 3</t>
  </si>
  <si>
    <t>Đường nhỏ, khó đậu xe</t>
  </si>
  <si>
    <t>Vành trong</t>
  </si>
  <si>
    <t>Quận 4</t>
  </si>
  <si>
    <t>Quận 5</t>
  </si>
  <si>
    <t>Phú Nhuận</t>
  </si>
  <si>
    <t>Quận 7</t>
  </si>
  <si>
    <t>Khu Tây – Nam</t>
  </si>
  <si>
    <t>Bình Chánh</t>
  </si>
  <si>
    <t>Quận 8</t>
  </si>
  <si>
    <t>Quy hoạch bài bản, gần Thủ Thiêm</t>
  </si>
  <si>
    <t>Có nhiều dự án cao cấp, chủ đầu tư lớn</t>
  </si>
  <si>
    <t>Phù hợp chuyên gia, người nước ngoài</t>
  </si>
  <si>
    <t>N07-1</t>
  </si>
  <si>
    <t>Kết nối phụ thuộc cầu/đường độc đạo</t>
  </si>
  <si>
    <t>Kẹt cầu Thủ Thiêm, cầu Sài Gòn giờ cao điểm</t>
  </si>
  <si>
    <t>Gần khu công nghệ cao, sông Đồng Nai</t>
  </si>
  <si>
    <t>Gần ĐHQG, nhiều khu R&amp;D</t>
  </si>
  <si>
    <t>Quỹ đất lớn, tiềm năng tăng</t>
  </si>
  <si>
    <t>Xa Q1, hay kẹt cao tốc Long Thành</t>
  </si>
  <si>
    <t>Một số khu chưa nâng cấp</t>
  </si>
  <si>
    <t>Gần ĐHQG, metro tuyến 1</t>
  </si>
  <si>
    <t>Có Vincom, bệnh viện, trường cấp 1–3</t>
  </si>
  <si>
    <t>Đường Kha Vạn Cân, Linh Đông dễ ngập</t>
  </si>
  <si>
    <t>Đầy đủ tiện ích cao cấp</t>
  </si>
  <si>
    <t>Có trung tâm thương mại, bệnh viện lớn</t>
  </si>
  <si>
    <t>Dân trí cao, nhiều người nước ngoài</t>
  </si>
  <si>
    <t>Giá BĐS và dịch vụ cao nhất TP</t>
  </si>
  <si>
    <t>Gần Q1, khu văn minh</t>
  </si>
  <si>
    <t>Dân trí cao, có nhiều trường học</t>
  </si>
  <si>
    <t>Gần Q1, giá thấp hơn</t>
  </si>
  <si>
    <t>Dễ tiếp cận BĐS trung tâm</t>
  </si>
  <si>
    <t>Hạ tầng hạn chế, ngập triều cường</t>
  </si>
  <si>
    <t>Cộng đồng người Hoa, buôn bán sầm uất</t>
  </si>
  <si>
    <t>Tiện ích đầy đủ</t>
  </si>
  <si>
    <t>Bệnh viện, trường học lớn, gần Q1</t>
  </si>
  <si>
    <t>Hạn chế phát triển dự án mới</t>
  </si>
  <si>
    <t>Gần sân bay, Q1, Q3</t>
  </si>
  <si>
    <t>Dân cư ổn định, nhiều khu compound</t>
  </si>
  <si>
    <t>Đắt gần ngang Q3</t>
  </si>
  <si>
    <t>Khu quy hoạch mới, hiện đại</t>
  </si>
  <si>
    <t>Quy hoạch bài bản, xanh sạch</t>
  </si>
  <si>
    <t>Có Crescent Mall, FV, trường quốc tế</t>
  </si>
  <si>
    <t>Có dịch vụ cao cấp, quốc tế</t>
  </si>
  <si>
    <t>Phù hợp người nước ngoài</t>
  </si>
  <si>
    <t>Dễ kẹt cầu Kênh Tẻ, Nguyễn Văn Linh</t>
  </si>
  <si>
    <t>Quỹ đất lớn, nhiều khu dân cư mới</t>
  </si>
  <si>
    <t>Có khu quy hoạch mới, dân cư tăng</t>
  </si>
  <si>
    <t>Đang đô thị hóa nhanh</t>
  </si>
  <si>
    <t>Mất 45–60 phút vào Q1</t>
  </si>
  <si>
    <t>Hạ tầng cũ, một số đường nhỏ</t>
  </si>
  <si>
    <t>Một số tuyến chưa mở rộng</t>
  </si>
  <si>
    <t>Dễ mua để ở thật</t>
  </si>
  <si>
    <t>Ngập nặng, hạ tầng yếu</t>
  </si>
  <si>
    <t>Khu lao động, chợ, xe tải nhiều</t>
  </si>
  <si>
    <t>Phù hợp người làm việc ở trung tâm</t>
  </si>
  <si>
    <t>U01-1</t>
  </si>
  <si>
    <t>Nhiều tuyến đường lớn, kết nối các quận trọng điểm</t>
  </si>
  <si>
    <t>Người di chuyển thường xuyên</t>
  </si>
  <si>
    <t>Ví dụ: Q1, Q3, Phú Nhuận</t>
  </si>
  <si>
    <t>U01-2</t>
  </si>
  <si>
    <t>Có metro, cao tốc, hoặc cầu mới giúp rút ngắn thời gian di chuyển</t>
  </si>
  <si>
    <t>Người đi làm xa</t>
  </si>
  <si>
    <t>Thích hợp Thủ Đức, Quận 9</t>
  </si>
  <si>
    <t>Ví dụ: Q2, Q7, TP Thủ Đức</t>
  </si>
  <si>
    <t>U02-1</t>
  </si>
  <si>
    <t>Có quy hoạch đồng bộ hạ tầng – tiện ích – cây xanh</t>
  </si>
  <si>
    <t>Nhà đầu tư dài hạn</t>
  </si>
  <si>
    <t>Tiềm năng tăng giá tốt</t>
  </si>
  <si>
    <t>U02-2</t>
  </si>
  <si>
    <t>Định hướng phát triển đô thị thông minh</t>
  </si>
  <si>
    <t>Chuyên gia, kỹ sư</t>
  </si>
  <si>
    <t>Ví dụ: TP Thủ Đức</t>
  </si>
  <si>
    <t>Thoáng mát, ít ô nhiễm</t>
  </si>
  <si>
    <t>U03-1</t>
  </si>
  <si>
    <t>Có sông, hồ, công viên gần nhà</t>
  </si>
  <si>
    <t>Gia đình có trẻ nhỏ</t>
  </si>
  <si>
    <t>Không khí trong lành</t>
  </si>
  <si>
    <t>Vùng đang phát triển mạnh</t>
  </si>
  <si>
    <t>U04-1</t>
  </si>
  <si>
    <t>Được nhiều chủ đầu tư lớn tập trung</t>
  </si>
  <si>
    <t>Nhà đầu tư</t>
  </si>
  <si>
    <t>Ví dụ: Novaland, Vingroup</t>
  </si>
  <si>
    <t>Sinh hoạt thuận tiện</t>
  </si>
  <si>
    <t>U05-1</t>
  </si>
  <si>
    <t>Có trung tâm mua sắm, siêu thị lớn gần nhà</t>
  </si>
  <si>
    <t>Gia đình, người trẻ</t>
  </si>
  <si>
    <t>AEON, Crescent Mall, Vincom</t>
  </si>
  <si>
    <t>Quản lý nghiêm ngặt</t>
  </si>
  <si>
    <t>U06-1</t>
  </si>
  <si>
    <t>Có bảo vệ 24/7, camera, cổng kiểm soát</t>
  </si>
  <si>
    <t>Khu compound, căn hộ cao cấp</t>
  </si>
  <si>
    <t>Tiềm năng tăng giá dài hạn</t>
  </si>
  <si>
    <t>U07-1</t>
  </si>
  <si>
    <t>Quỹ đất còn nhiều, dễ chọn vị trí</t>
  </si>
  <si>
    <t>Nhà đầu tư, người trẻ</t>
  </si>
  <si>
    <t>Ví dụ: Bình Chánh, Nhà Bè</t>
  </si>
  <si>
    <t>Nhiều cơ hội việc làm</t>
  </si>
  <si>
    <t>Ít tệ nạn xã hội</t>
  </si>
  <si>
    <t>---</t>
  </si>
  <si>
    <t>Thường vào giờ cao điểm</t>
  </si>
  <si>
    <t>N01-1</t>
  </si>
  <si>
    <t>Hạ tầng giao thông chưa đồng bộ, dễ tắc đường</t>
  </si>
  <si>
    <t>Đặc biệt khu Q9, Bình Chánh</t>
  </si>
  <si>
    <t>Q4, Q5, Q8 hay gặp</t>
  </si>
  <si>
    <t>N02-1</t>
  </si>
  <si>
    <t>Thiếu vỉa hè, hệ thống thoát nước yếu</t>
  </si>
  <si>
    <t>Gây ngập khi mưa lớn</t>
  </si>
  <si>
    <t>Q1, Q3, Phú Nhuận</t>
  </si>
  <si>
    <t>Khu dân cư cũ, chưa phát triển</t>
  </si>
  <si>
    <t>Trung tâm hoặc khu lao động đông đúc</t>
  </si>
  <si>
    <t>N05-1</t>
  </si>
  <si>
    <t>Ô nhiễm tiếng ồn và khói bụi</t>
  </si>
  <si>
    <t>Gần trục đường chính</t>
  </si>
  <si>
    <t>Q5, Q10, khu trung tâm cũ</t>
  </si>
  <si>
    <t>Q9, Bình Chánh, Nhà Bè</t>
  </si>
  <si>
    <t>Q7, Q2, Q9 thường kẹt cầu</t>
  </si>
  <si>
    <t>Khu cao cấp như Q7, Thảo Điền</t>
  </si>
  <si>
    <t xml:space="preserve"> </t>
  </si>
  <si>
    <t>Liệt kê giá nhà theo khu vực, diện tích, mỗi khu vực phân tích toàn bộ chủ đề/tiêu chí để so sánh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</si>
</sst>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charset val="163"/>
      <scheme val="minor"/>
    </font>
    <font>
      <b/>
      <sz val="11"/>
      <color theme="1"/>
      <name val="Aptos Narrow"/>
      <family val="2"/>
      <charset val="163"/>
      <scheme val="minor"/>
    </font>
    <font>
      <b/>
      <sz val="11"/>
      <color theme="1"/>
      <name val="Aptos Narrow"/>
      <family val="2"/>
      <scheme val="minor"/>
    </font>
    <font>
      <i/>
      <sz val="11"/>
      <color theme="1"/>
      <name val="Aptos Narrow"/>
      <family val="2"/>
      <charset val="163"/>
      <scheme val="minor"/>
    </font>
    <font>
      <sz val="11"/>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17">
    <xf numFmtId="0" fontId="0" fillId="0" borderId="0" xfId="0"/>
    <xf numFmtId="0" fontId="2" fillId="0" borderId="0" xfId="0" applyFont="1"/>
    <xf numFmtId="0" fontId="0" fillId="0" borderId="1" xfId="0" applyBorder="1"/>
    <xf numFmtId="0" fontId="2" fillId="0" borderId="1" xfId="0" applyFont="1" applyBorder="1"/>
    <xf numFmtId="0" fontId="1" fillId="0" borderId="1" xfId="0" applyFont="1" applyBorder="1" applyAlignment="1">
      <alignment horizontal="center" vertical="center" wrapText="1"/>
    </xf>
    <xf numFmtId="0" fontId="0" fillId="0" borderId="1" xfId="0" applyBorder="1" applyAlignment="1">
      <alignment vertical="center" wrapText="1"/>
    </xf>
    <xf numFmtId="0" fontId="3" fillId="0" borderId="1" xfId="0" applyFont="1" applyBorder="1" applyAlignment="1">
      <alignment vertical="center" wrapText="1"/>
    </xf>
    <xf numFmtId="0" fontId="2" fillId="0" borderId="1" xfId="0"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2" fillId="0" borderId="2" xfId="0" applyFont="1" applyFill="1" applyBorder="1"/>
    <xf numFmtId="0" fontId="2" fillId="0" borderId="1" xfId="0" applyFont="1" applyFill="1" applyBorder="1"/>
    <xf numFmtId="0" fontId="4" fillId="0" borderId="1" xfId="0" applyFont="1" applyFill="1" applyBorder="1"/>
    <xf numFmtId="0" fontId="0" fillId="0" borderId="1" xfId="0" applyFill="1" applyBorder="1"/>
    <xf numFmtId="0" fontId="2" fillId="0" borderId="0" xfId="0" applyFont="1" applyAlignment="1">
      <alignment horizontal="center"/>
    </xf>
    <xf numFmtId="0" fontId="2" fillId="0" borderId="0" xfId="0" applyFont="1" applyAlignment="1">
      <alignment horizontal="left"/>
    </xf>
    <xf numFmtId="0" fontId="0" fillId="0" borderId="0" xfId="0" applyBorder="1" applyAlignment="1">
      <alignment horizontal="center"/>
    </xf>
  </cellXfs>
  <cellStyles count="1">
    <cellStyle name="Normal" xfId="0" builtinId="0"/>
  </cellStyles>
  <dxfs count="2">
    <dxf>
      <fill>
        <patternFill>
          <bgColor theme="3" tint="0.89996032593768116"/>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3B3A0-11C1-4D0E-AD83-41E8B4D1DC3D}">
  <dimension ref="A1:G12"/>
  <sheetViews>
    <sheetView zoomScaleNormal="100" workbookViewId="0"/>
  </sheetViews>
  <sheetFormatPr defaultRowHeight="14.5" x14ac:dyDescent="0.35"/>
  <cols>
    <col min="1" max="1" width="4.81640625" bestFit="1" customWidth="1"/>
    <col min="2" max="2" width="17.08984375" bestFit="1" customWidth="1"/>
    <col min="3" max="3" width="26.6328125" customWidth="1"/>
    <col min="4" max="4" width="17.90625" bestFit="1" customWidth="1"/>
    <col min="5" max="5" width="19" customWidth="1"/>
    <col min="6" max="6" width="17.54296875" bestFit="1" customWidth="1"/>
    <col min="7" max="7" width="3.7265625" style="9" bestFit="1" customWidth="1"/>
  </cols>
  <sheetData>
    <row r="1" spans="1:7" x14ac:dyDescent="0.35">
      <c r="A1" s="4" t="s">
        <v>25</v>
      </c>
      <c r="B1" s="4" t="s">
        <v>26</v>
      </c>
      <c r="C1" s="4" t="s">
        <v>69</v>
      </c>
      <c r="D1" s="4" t="s">
        <v>27</v>
      </c>
      <c r="E1" s="4" t="s">
        <v>70</v>
      </c>
      <c r="F1" s="4" t="s">
        <v>28</v>
      </c>
      <c r="G1" s="7" t="s">
        <v>6</v>
      </c>
    </row>
    <row r="2" spans="1:7" x14ac:dyDescent="0.35">
      <c r="A2" s="5">
        <v>2025</v>
      </c>
      <c r="B2" s="5">
        <v>2000000000</v>
      </c>
      <c r="C2" s="5">
        <v>3.25</v>
      </c>
      <c r="D2" s="2">
        <f>$B2*(1+C2/100)</f>
        <v>2065000000</v>
      </c>
      <c r="E2" s="5"/>
      <c r="F2" s="2" t="str">
        <f>IF(E2="","",$B2*(1+E2/100))</f>
        <v/>
      </c>
      <c r="G2" s="8">
        <v>1</v>
      </c>
    </row>
    <row r="3" spans="1:7" x14ac:dyDescent="0.35">
      <c r="A3" s="5">
        <v>2026</v>
      </c>
      <c r="B3" s="5">
        <f>IF(F2&lt;&gt;"",F2,D2)</f>
        <v>2065000000</v>
      </c>
      <c r="C3" s="5">
        <v>3</v>
      </c>
      <c r="D3" s="2">
        <f t="shared" ref="D3:D12" si="0">$B3*(1+C3/100)</f>
        <v>2126950000</v>
      </c>
      <c r="E3" s="6"/>
      <c r="F3" s="2" t="str">
        <f t="shared" ref="F3:F12" si="1">IF(E3="","",$B3*(1+E3/100))</f>
        <v/>
      </c>
      <c r="G3" s="8">
        <v>2</v>
      </c>
    </row>
    <row r="4" spans="1:7" x14ac:dyDescent="0.35">
      <c r="A4" s="5">
        <v>2027</v>
      </c>
      <c r="B4" s="5">
        <f t="shared" ref="B4:B12" si="2">IF(F3&lt;&gt;"",F3,D3)</f>
        <v>2126950000</v>
      </c>
      <c r="C4" s="5">
        <v>2.4</v>
      </c>
      <c r="D4" s="2">
        <f t="shared" si="0"/>
        <v>2177996800</v>
      </c>
      <c r="E4" s="5"/>
      <c r="F4" s="2" t="str">
        <f t="shared" si="1"/>
        <v/>
      </c>
      <c r="G4" s="8">
        <v>3</v>
      </c>
    </row>
    <row r="5" spans="1:7" x14ac:dyDescent="0.35">
      <c r="A5" s="5">
        <v>2028</v>
      </c>
      <c r="B5" s="5">
        <f t="shared" si="2"/>
        <v>2177996800</v>
      </c>
      <c r="C5" s="5">
        <v>4</v>
      </c>
      <c r="D5" s="2">
        <f t="shared" si="0"/>
        <v>2265116672</v>
      </c>
      <c r="E5" s="5"/>
      <c r="F5" s="2" t="str">
        <f t="shared" si="1"/>
        <v/>
      </c>
      <c r="G5" s="8">
        <v>4</v>
      </c>
    </row>
    <row r="6" spans="1:7" x14ac:dyDescent="0.35">
      <c r="A6" s="5">
        <v>2029</v>
      </c>
      <c r="B6" s="5">
        <f t="shared" si="2"/>
        <v>2265116672</v>
      </c>
      <c r="C6" s="5">
        <v>4</v>
      </c>
      <c r="D6" s="2">
        <f t="shared" si="0"/>
        <v>2355721338.8800001</v>
      </c>
      <c r="E6" s="5"/>
      <c r="F6" s="2" t="str">
        <f t="shared" si="1"/>
        <v/>
      </c>
      <c r="G6" s="8">
        <v>5</v>
      </c>
    </row>
    <row r="7" spans="1:7" x14ac:dyDescent="0.35">
      <c r="A7" s="5">
        <v>2030</v>
      </c>
      <c r="B7" s="5">
        <f t="shared" si="2"/>
        <v>2355721338.8800001</v>
      </c>
      <c r="C7" s="2">
        <v>4</v>
      </c>
      <c r="D7" s="2">
        <f t="shared" si="0"/>
        <v>2449950192.4352002</v>
      </c>
      <c r="E7" s="2"/>
      <c r="F7" s="2" t="str">
        <f t="shared" si="1"/>
        <v/>
      </c>
      <c r="G7" s="8">
        <v>6</v>
      </c>
    </row>
    <row r="8" spans="1:7" x14ac:dyDescent="0.35">
      <c r="A8" s="5">
        <v>2031</v>
      </c>
      <c r="B8" s="5">
        <f t="shared" si="2"/>
        <v>2449950192.4352002</v>
      </c>
      <c r="C8" s="2">
        <v>4</v>
      </c>
      <c r="D8" s="2">
        <f t="shared" si="0"/>
        <v>2547948200.1326084</v>
      </c>
      <c r="E8" s="2"/>
      <c r="F8" s="2" t="str">
        <f t="shared" si="1"/>
        <v/>
      </c>
      <c r="G8" s="8">
        <v>7</v>
      </c>
    </row>
    <row r="9" spans="1:7" x14ac:dyDescent="0.35">
      <c r="A9" s="5">
        <v>2032</v>
      </c>
      <c r="B9" s="5">
        <f t="shared" si="2"/>
        <v>2547948200.1326084</v>
      </c>
      <c r="C9" s="2">
        <v>4</v>
      </c>
      <c r="D9" s="2">
        <f t="shared" si="0"/>
        <v>2649866128.1379128</v>
      </c>
      <c r="E9" s="2"/>
      <c r="F9" s="2" t="str">
        <f t="shared" si="1"/>
        <v/>
      </c>
      <c r="G9" s="8">
        <v>8</v>
      </c>
    </row>
    <row r="10" spans="1:7" x14ac:dyDescent="0.35">
      <c r="A10" s="5">
        <v>2033</v>
      </c>
      <c r="B10" s="5">
        <f t="shared" si="2"/>
        <v>2649866128.1379128</v>
      </c>
      <c r="C10" s="2">
        <v>4</v>
      </c>
      <c r="D10" s="2">
        <f t="shared" si="0"/>
        <v>2755860773.2634292</v>
      </c>
      <c r="E10" s="2"/>
      <c r="F10" s="2" t="str">
        <f t="shared" si="1"/>
        <v/>
      </c>
      <c r="G10" s="8">
        <v>9</v>
      </c>
    </row>
    <row r="11" spans="1:7" x14ac:dyDescent="0.35">
      <c r="A11" s="5">
        <v>2034</v>
      </c>
      <c r="B11" s="5">
        <f t="shared" si="2"/>
        <v>2755860773.2634292</v>
      </c>
      <c r="C11" s="2">
        <v>4</v>
      </c>
      <c r="D11" s="2">
        <f t="shared" si="0"/>
        <v>2866095204.1939664</v>
      </c>
      <c r="E11" s="2"/>
      <c r="F11" s="2" t="str">
        <f t="shared" si="1"/>
        <v/>
      </c>
      <c r="G11" s="8">
        <v>10</v>
      </c>
    </row>
    <row r="12" spans="1:7" x14ac:dyDescent="0.35">
      <c r="A12" s="5">
        <v>2035</v>
      </c>
      <c r="B12" s="5">
        <f t="shared" si="2"/>
        <v>2866095204.1939664</v>
      </c>
      <c r="C12" s="2">
        <v>4</v>
      </c>
      <c r="D12" s="2">
        <f t="shared" si="0"/>
        <v>2980739012.3617253</v>
      </c>
      <c r="E12" s="2"/>
      <c r="F12" s="2" t="str">
        <f t="shared" si="1"/>
        <v/>
      </c>
      <c r="G12" s="8">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5FAA3-D215-41FE-9C13-E641F04EDD21}">
  <dimension ref="A1"/>
  <sheetViews>
    <sheetView workbookViewId="0">
      <selection activeCell="B2" sqref="B2"/>
    </sheetView>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C9DCA-D84B-49FE-B2FF-085A73E4AD6E}">
  <dimension ref="A2:ER50"/>
  <sheetViews>
    <sheetView tabSelected="1" topLeftCell="AP2" zoomScaleNormal="100" workbookViewId="0">
      <selection activeCell="AV16" sqref="AV16"/>
    </sheetView>
  </sheetViews>
  <sheetFormatPr defaultRowHeight="14.5" x14ac:dyDescent="0.35"/>
  <cols>
    <col min="1" max="1" width="20.08984375" bestFit="1" customWidth="1"/>
    <col min="2" max="2" width="29.36328125" customWidth="1"/>
    <col min="4" max="4" width="28.7265625" bestFit="1" customWidth="1"/>
    <col min="5" max="5" width="31.54296875" bestFit="1" customWidth="1"/>
    <col min="6" max="6" width="126.54296875" bestFit="1" customWidth="1"/>
    <col min="7" max="7" width="8.90625" customWidth="1"/>
    <col min="8" max="8" width="14.08984375" bestFit="1" customWidth="1"/>
    <col min="9" max="9" width="10.54296875" bestFit="1" customWidth="1"/>
    <col min="11" max="11" width="12.7265625" bestFit="1" customWidth="1"/>
    <col min="12" max="12" width="21.1796875" bestFit="1" customWidth="1"/>
    <col min="13" max="13" width="25.36328125" bestFit="1" customWidth="1"/>
    <col min="14" max="14" width="75.54296875" bestFit="1" customWidth="1"/>
    <col min="16" max="16" width="7.453125" customWidth="1"/>
    <col min="17" max="17" width="38.7265625" bestFit="1" customWidth="1"/>
    <col min="18" max="18" width="40.08984375" bestFit="1" customWidth="1"/>
    <col min="19" max="19" width="28.7265625" bestFit="1" customWidth="1"/>
    <col min="20" max="20" width="82.81640625" bestFit="1" customWidth="1"/>
    <col min="22" max="22" width="5.54296875" customWidth="1"/>
    <col min="23" max="23" width="23.6328125" bestFit="1" customWidth="1"/>
    <col min="24" max="24" width="16.453125" bestFit="1" customWidth="1"/>
    <col min="25" max="25" width="31.90625" bestFit="1" customWidth="1"/>
    <col min="26" max="26" width="9" customWidth="1"/>
    <col min="27" max="28" width="15.1796875" customWidth="1"/>
    <col min="29" max="29" width="19.81640625" bestFit="1" customWidth="1"/>
    <col min="30" max="30" width="19.6328125" bestFit="1" customWidth="1"/>
    <col min="31" max="31" width="23.6328125" bestFit="1" customWidth="1"/>
    <col min="32" max="32" width="6" bestFit="1" customWidth="1"/>
    <col min="33" max="33" width="23.6328125" bestFit="1" customWidth="1"/>
    <col min="34" max="34" width="15.7265625" bestFit="1" customWidth="1"/>
    <col min="35" max="35" width="15.54296875" bestFit="1" customWidth="1"/>
    <col min="37" max="37" width="8.36328125" customWidth="1"/>
    <col min="38" max="38" width="32.1796875" bestFit="1" customWidth="1"/>
    <col min="39" max="39" width="76.54296875" bestFit="1" customWidth="1"/>
    <col min="40" max="40" width="18.81640625" bestFit="1" customWidth="1"/>
    <col min="41" max="41" width="80.54296875" bestFit="1" customWidth="1"/>
    <col min="43" max="43" width="5.36328125" style="9" customWidth="1"/>
    <col min="44" max="44" width="32.1796875" bestFit="1" customWidth="1"/>
    <col min="45" max="45" width="47.1796875" bestFit="1" customWidth="1"/>
    <col min="46" max="46" width="9.90625" bestFit="1" customWidth="1"/>
    <col min="47" max="47" width="9.6328125" bestFit="1" customWidth="1"/>
    <col min="48" max="48" width="77.81640625" bestFit="1" customWidth="1"/>
    <col min="50" max="50" width="2.81640625" bestFit="1" customWidth="1"/>
    <col min="51" max="51" width="10.453125" bestFit="1" customWidth="1"/>
    <col min="52" max="52" width="14.81640625" customWidth="1"/>
    <col min="53" max="53" width="35.7265625" bestFit="1" customWidth="1"/>
    <col min="54" max="54" width="12.54296875" bestFit="1" customWidth="1"/>
    <col min="55" max="55" width="8.90625" bestFit="1" customWidth="1"/>
    <col min="56" max="56" width="29.81640625" bestFit="1" customWidth="1"/>
    <col min="57" max="57" width="32.81640625" bestFit="1" customWidth="1"/>
    <col min="58" max="58" width="38.08984375" bestFit="1" customWidth="1"/>
    <col min="62" max="62" width="5.7265625" bestFit="1" customWidth="1"/>
    <col min="63" max="63" width="11.81640625" bestFit="1" customWidth="1"/>
    <col min="64" max="64" width="13.6328125" bestFit="1" customWidth="1"/>
    <col min="65" max="65" width="35" customWidth="1"/>
    <col min="66" max="66" width="25.90625" bestFit="1" customWidth="1"/>
    <col min="67" max="67" width="31.6328125" bestFit="1" customWidth="1"/>
  </cols>
  <sheetData>
    <row r="2" spans="1:148" s="1" customFormat="1" x14ac:dyDescent="0.35">
      <c r="A2" t="s">
        <v>67</v>
      </c>
      <c r="B2"/>
      <c r="C2"/>
      <c r="D2" s="1" t="str">
        <f>IF(D3&lt;&gt;"", "MD-" &amp; COUNTIF($D3:D3, "&lt;&gt;"), "")</f>
        <v>MD-1</v>
      </c>
      <c r="E2" s="1" t="str">
        <f>IF(E3&lt;&gt;"", "MD-" &amp; COUNTIF($D3:E3, "&lt;&gt;"), "")</f>
        <v/>
      </c>
      <c r="F2" s="1" t="str">
        <f>IF(F3&lt;&gt;"", "MD-" &amp; COUNTIF($D3:F3, "&lt;&gt;"), "")</f>
        <v/>
      </c>
      <c r="G2" s="1" t="str">
        <f>IF(G3&lt;&gt;"", "MD-" &amp; COUNTIF($D3:G3, "&lt;&gt;"), "")</f>
        <v/>
      </c>
      <c r="H2" s="1" t="str">
        <f>IF(H3&lt;&gt;"", "MD-" &amp; COUNTIF($D3:H3, "&lt;&gt;"), "")</f>
        <v>MD-2</v>
      </c>
      <c r="J2" s="1" t="str">
        <f>IF(J3&lt;&gt;"", "MD-" &amp; COUNTIF($D3:J3, "&lt;&gt;"), "")</f>
        <v/>
      </c>
      <c r="K2" s="1" t="str">
        <f>IF(K3&lt;&gt;"", "MD-" &amp; COUNTIF($D3:K3, "&lt;&gt;"), "")</f>
        <v>MD-3</v>
      </c>
      <c r="L2" s="1" t="str">
        <f>IF(L3&lt;&gt;"", "MD-" &amp; COUNTIF($D3:L3, "&lt;&gt;"), "")</f>
        <v/>
      </c>
      <c r="M2" s="1" t="str">
        <f>IF(M3&lt;&gt;"", "MD-" &amp; COUNTIF($D3:M3, "&lt;&gt;"), "")</f>
        <v/>
      </c>
      <c r="N2" s="1" t="str">
        <f>IF(N3&lt;&gt;"", "MD-" &amp; COUNTIF($D3:N3, "&lt;&gt;"), "")</f>
        <v/>
      </c>
      <c r="O2" s="1" t="str">
        <f>IF(O3&lt;&gt;"", "MD-" &amp; COUNTIF($D3:O3, "&lt;&gt;"), "")</f>
        <v/>
      </c>
      <c r="P2" s="1" t="str">
        <f>IF(P3&lt;&gt;"", "MD-" &amp; COUNTIF($D3:P3, "&lt;&gt;"), "")</f>
        <v>MD-4</v>
      </c>
      <c r="Q2" s="1" t="str">
        <f>IF(Q3&lt;&gt;"", "MD-" &amp; COUNTIF($D3:Q3, "&lt;&gt;"), "")</f>
        <v/>
      </c>
      <c r="R2" s="1" t="str">
        <f>IF(R3&lt;&gt;"", "MD-" &amp; COUNTIF($D3:R3, "&lt;&gt;"), "")</f>
        <v/>
      </c>
      <c r="S2" s="1" t="str">
        <f>IF(S3&lt;&gt;"", "MD-" &amp; COUNTIF($D3:S3, "&lt;&gt;"), "")</f>
        <v/>
      </c>
      <c r="T2" s="1" t="str">
        <f>IF(T3&lt;&gt;"", "MD-" &amp; COUNTIF($D3:T3, "&lt;&gt;"), "")</f>
        <v/>
      </c>
      <c r="U2" s="1" t="str">
        <f>IF(U3&lt;&gt;"", "MD-" &amp; COUNTIF($D3:U3, "&lt;&gt;"), "")</f>
        <v/>
      </c>
      <c r="V2" s="1" t="str">
        <f>IF(V3&lt;&gt;"", "MD-" &amp; COUNTIF($D3:V3, "&lt;&gt;"), "")</f>
        <v>MD-5</v>
      </c>
      <c r="W2" s="1" t="str">
        <f>IF(W3&lt;&gt;"", "MD-" &amp; COUNTIF($D3:W3, "&lt;&gt;"), "")</f>
        <v/>
      </c>
      <c r="X2" s="1" t="str">
        <f>IF(X3&lt;&gt;"", "MD-" &amp; COUNTIF($D3:X3, "&lt;&gt;"), "")</f>
        <v/>
      </c>
      <c r="Y2" s="1" t="str">
        <f>IF(Y3&lt;&gt;"", "MD-" &amp; COUNTIF($D3:Y3, "&lt;&gt;"), "")</f>
        <v/>
      </c>
      <c r="Z2" s="1" t="str">
        <f>IF(Z3&lt;&gt;"", "MD-" &amp; COUNTIF($D3:Z3, "&lt;&gt;"), "")</f>
        <v/>
      </c>
      <c r="AA2" s="1" t="str">
        <f>IF(AA3&lt;&gt;"", "MD-" &amp; COUNTIF($D3:AA3, "&lt;&gt;"), "")</f>
        <v/>
      </c>
      <c r="AB2" s="1" t="str">
        <f>IF(AB3&lt;&gt;"", "MD-" &amp; COUNTIF($D3:AB3, "&lt;&gt;"), "")</f>
        <v/>
      </c>
      <c r="AC2" s="1" t="str">
        <f>IF(AC3&lt;&gt;"", "MD-" &amp; COUNTIF($D3:AC3, "&lt;&gt;"), "")</f>
        <v/>
      </c>
      <c r="AD2" s="1" t="str">
        <f>IF(AD3&lt;&gt;"", "MD-" &amp; COUNTIF($D3:AD3, "&lt;&gt;"), "")</f>
        <v/>
      </c>
      <c r="AE2" s="1" t="str">
        <f>IF(AE3&lt;&gt;"", "MD-" &amp; COUNTIF($D3:AE3, "&lt;&gt;"), "")</f>
        <v/>
      </c>
      <c r="AF2" s="1" t="str">
        <f>IF(AF3&lt;&gt;"", "MD-" &amp; COUNTIF($D3:AF3, "&lt;&gt;"), "")</f>
        <v>MD-6</v>
      </c>
      <c r="AG2" s="1" t="str">
        <f>IF(AG3&lt;&gt;"", "MD-" &amp; COUNTIF($D3:AG3, "&lt;&gt;"), "")</f>
        <v/>
      </c>
      <c r="AH2" s="1" t="str">
        <f>IF(AH3&lt;&gt;"", "MD-" &amp; COUNTIF($D3:AH3, "&lt;&gt;"), "")</f>
        <v/>
      </c>
      <c r="AI2" s="1" t="str">
        <f>IF(AI3&lt;&gt;"", "MD-" &amp; COUNTIF($D3:AI3, "&lt;&gt;"), "")</f>
        <v/>
      </c>
      <c r="AJ2" s="1" t="str">
        <f>IF(AJ3&lt;&gt;"", "MD-" &amp; COUNTIF($D3:AJ3, "&lt;&gt;"), "")</f>
        <v/>
      </c>
      <c r="AK2" s="1" t="str">
        <f>IF(AK3&lt;&gt;"", "MD-" &amp; COUNTIF($D3:AK3, "&lt;&gt;"), "")</f>
        <v>MD-7</v>
      </c>
      <c r="AL2" s="1" t="str">
        <f>IF(AL3&lt;&gt;"", "MD-" &amp; COUNTIF($D3:AL3, "&lt;&gt;"), "")</f>
        <v/>
      </c>
      <c r="AM2" s="1" t="str">
        <f>IF(AM3&lt;&gt;"", "MD-" &amp; COUNTIF($D3:AM3, "&lt;&gt;"), "")</f>
        <v/>
      </c>
      <c r="AN2" s="1" t="str">
        <f>IF(AN3&lt;&gt;"", "MD-" &amp; COUNTIF($D3:AN3, "&lt;&gt;"), "")</f>
        <v/>
      </c>
      <c r="AO2" s="1" t="str">
        <f>IF(AO3&lt;&gt;"", "MD-" &amp; COUNTIF($D3:AO3, "&lt;&gt;"), "")</f>
        <v/>
      </c>
      <c r="AP2" s="1" t="str">
        <f>IF(AP3&lt;&gt;"", "MD-" &amp; COUNTIF($D3:AP3, "&lt;&gt;"), "")</f>
        <v/>
      </c>
      <c r="AQ2" s="14" t="str">
        <f>IF(AQ3&lt;&gt;"", "MD-" &amp; COUNTIF($D3:AQ3, "&lt;&gt;"), "")</f>
        <v>MD-8</v>
      </c>
      <c r="AR2" s="1" t="str">
        <f>IF(AR3&lt;&gt;"", "MD-" &amp; COUNTIF($D3:AR3, "&lt;&gt;"), "")</f>
        <v/>
      </c>
      <c r="AS2" s="1" t="str">
        <f>IF(AS3&lt;&gt;"", "MD-" &amp; COUNTIF($D3:AS3, "&lt;&gt;"), "")</f>
        <v/>
      </c>
      <c r="AT2" s="1" t="str">
        <f>IF(AT3&lt;&gt;"", "MD-" &amp; COUNTIF($D3:AT3, "&lt;&gt;"), "")</f>
        <v/>
      </c>
      <c r="AU2" s="1" t="str">
        <f>IF(AU3&lt;&gt;"", "MD-" &amp; COUNTIF($D3:AU3, "&lt;&gt;"), "")</f>
        <v/>
      </c>
      <c r="AV2" s="1" t="str">
        <f>IF(AV3&lt;&gt;"", "MD-" &amp; COUNTIF($D3:AV3, "&lt;&gt;"), "")</f>
        <v/>
      </c>
      <c r="AW2" s="1" t="str">
        <f>IF(AW3&lt;&gt;"", "MD-" &amp; COUNTIF($D3:AW3, "&lt;&gt;"), "")</f>
        <v/>
      </c>
      <c r="AX2" s="1" t="str">
        <f>IF(AX3&lt;&gt;"", "MD-" &amp; COUNTIF($D3:AX3, "&lt;&gt;"), "")</f>
        <v>MD-9</v>
      </c>
      <c r="AZ2" s="1" t="str">
        <f>IF(AZ3&lt;&gt;"", "MD-" &amp; COUNTIF($D3:AZ3, "&lt;&gt;"), "")</f>
        <v/>
      </c>
      <c r="BA2" s="1" t="str">
        <f>IF(BA3&lt;&gt;"", "MD-" &amp; COUNTIF($D3:BA3, "&lt;&gt;"), "")</f>
        <v/>
      </c>
      <c r="BB2" s="1" t="str">
        <f>IF(BB3&lt;&gt;"", "MD-" &amp; COUNTIF($D3:BB3, "&lt;&gt;"), "")</f>
        <v/>
      </c>
      <c r="BC2" s="1" t="str">
        <f>IF(BC3&lt;&gt;"", "MD-" &amp; COUNTIF($D3:BC3, "&lt;&gt;"), "")</f>
        <v/>
      </c>
      <c r="BD2" s="1" t="str">
        <f>IF(BD3&lt;&gt;"", "MD-" &amp; COUNTIF($D3:BD3, "&lt;&gt;"), "")</f>
        <v/>
      </c>
      <c r="BF2" s="1" t="str">
        <f>IF(BF3&lt;&gt;"", "MD-" &amp; COUNTIF($D3:BF3, "&lt;&gt;"), "")</f>
        <v/>
      </c>
      <c r="BG2" s="1" t="str">
        <f>IF(BG3&lt;&gt;"", "MD-" &amp; COUNTIF($D3:BG3, "&lt;&gt;"), "")</f>
        <v/>
      </c>
      <c r="BH2" s="1" t="str">
        <f>IF(BH3&lt;&gt;"", "MD-" &amp; COUNTIF($D3:BH3, "&lt;&gt;"), "")</f>
        <v>MD-10</v>
      </c>
      <c r="BI2" s="1" t="str">
        <f>IF(BI3&lt;&gt;"", "MD-" &amp; COUNTIF($D3:BI3, "&lt;&gt;"), "")</f>
        <v/>
      </c>
      <c r="BJ2" s="1" t="str">
        <f>IF(BJ3&lt;&gt;"", "MD-" &amp; COUNTIF($D3:BJ3, "&lt;&gt;"), "")</f>
        <v/>
      </c>
      <c r="BK2" s="1" t="str">
        <f>IF(BK3&lt;&gt;"", "MD-" &amp; COUNTIF($D3:BK3, "&lt;&gt;"), "")</f>
        <v/>
      </c>
      <c r="BL2" s="1" t="str">
        <f>IF(BL3&lt;&gt;"", "MD-" &amp; COUNTIF($D3:BL3, "&lt;&gt;"), "")</f>
        <v/>
      </c>
      <c r="BM2" s="1" t="str">
        <f>IF(BM3&lt;&gt;"", "MD-" &amp; COUNTIF($D3:BM3, "&lt;&gt;"), "")</f>
        <v/>
      </c>
      <c r="BN2" s="1" t="str">
        <f>IF(BN3&lt;&gt;"", "MD-" &amp; COUNTIF($D3:BN3, "&lt;&gt;"), "")</f>
        <v/>
      </c>
      <c r="BO2" s="1" t="str">
        <f>IF(BO3&lt;&gt;"", "MD-" &amp; COUNTIF($D3:BO3, "&lt;&gt;"), "")</f>
        <v/>
      </c>
      <c r="BP2" s="1" t="str">
        <f>IF(BP3&lt;&gt;"", "MD-" &amp; COUNTIF($D3:BP3, "&lt;&gt;"), "")</f>
        <v/>
      </c>
      <c r="BQ2" s="1" t="str">
        <f>IF(BQ3&lt;&gt;"", "MD-" &amp; COUNTIF($D3:BQ3, "&lt;&gt;"), "")</f>
        <v/>
      </c>
      <c r="BR2" s="1" t="str">
        <f>IF(BR3&lt;&gt;"", "MD-" &amp; COUNTIF($D3:BR3, "&lt;&gt;"), "")</f>
        <v/>
      </c>
      <c r="BS2" s="1" t="str">
        <f>IF(BS3&lt;&gt;"", "MD-" &amp; COUNTIF($D3:BS3, "&lt;&gt;"), "")</f>
        <v/>
      </c>
      <c r="BT2" s="1" t="str">
        <f>IF(BT3&lt;&gt;"", "MD-" &amp; COUNTIF($D3:BT3, "&lt;&gt;"), "")</f>
        <v/>
      </c>
      <c r="BU2" s="1" t="str">
        <f>IF(BU3&lt;&gt;"", "MD-" &amp; COUNTIF($D3:BU3, "&lt;&gt;"), "")</f>
        <v/>
      </c>
      <c r="BV2" s="1" t="str">
        <f>IF(BV3&lt;&gt;"", "MD-" &amp; COUNTIF($D3:BV3, "&lt;&gt;"), "")</f>
        <v/>
      </c>
      <c r="BW2" s="1" t="str">
        <f>IF(BW3&lt;&gt;"", "MD-" &amp; COUNTIF($D3:BW3, "&lt;&gt;"), "")</f>
        <v/>
      </c>
      <c r="BX2" s="1" t="str">
        <f>IF(BX3&lt;&gt;"", "MD-" &amp; COUNTIF($D3:BX3, "&lt;&gt;"), "")</f>
        <v/>
      </c>
      <c r="BY2" s="1" t="str">
        <f>IF(BY3&lt;&gt;"", "MD-" &amp; COUNTIF($D3:BY3, "&lt;&gt;"), "")</f>
        <v/>
      </c>
      <c r="BZ2" s="1" t="str">
        <f>IF(BZ3&lt;&gt;"", "MD-" &amp; COUNTIF($D3:BZ3, "&lt;&gt;"), "")</f>
        <v/>
      </c>
      <c r="CA2" s="1" t="str">
        <f>IF(CA3&lt;&gt;"", "MD-" &amp; COUNTIF($D3:CA3, "&lt;&gt;"), "")</f>
        <v/>
      </c>
      <c r="CB2" s="1" t="str">
        <f>IF(CB3&lt;&gt;"", "MD-" &amp; COUNTIF($D3:CB3, "&lt;&gt;"), "")</f>
        <v/>
      </c>
      <c r="CC2" s="1" t="str">
        <f>IF(CC3&lt;&gt;"", "MD-" &amp; COUNTIF($D3:CC3, "&lt;&gt;"), "")</f>
        <v/>
      </c>
      <c r="CD2" s="1" t="str">
        <f>IF(CD3&lt;&gt;"", "MD-" &amp; COUNTIF($D3:CD3, "&lt;&gt;"), "")</f>
        <v/>
      </c>
      <c r="CE2" s="1" t="str">
        <f>IF(CE3&lt;&gt;"", "MD-" &amp; COUNTIF($D3:CE3, "&lt;&gt;"), "")</f>
        <v/>
      </c>
      <c r="CF2" s="1" t="str">
        <f>IF(CF3&lt;&gt;"", "MD-" &amp; COUNTIF($D3:CF3, "&lt;&gt;"), "")</f>
        <v/>
      </c>
      <c r="CG2" s="1" t="str">
        <f>IF(CG3&lt;&gt;"", "MD-" &amp; COUNTIF($D3:CG3, "&lt;&gt;"), "")</f>
        <v/>
      </c>
      <c r="CH2" s="1" t="str">
        <f>IF(CH3&lt;&gt;"", "MD-" &amp; COUNTIF($D3:CH3, "&lt;&gt;"), "")</f>
        <v/>
      </c>
      <c r="CI2" s="1" t="str">
        <f>IF(CI3&lt;&gt;"", "MD-" &amp; COUNTIF($D3:CI3, "&lt;&gt;"), "")</f>
        <v/>
      </c>
      <c r="CJ2" s="1" t="str">
        <f>IF(CJ3&lt;&gt;"", "MD-" &amp; COUNTIF($D3:CJ3, "&lt;&gt;"), "")</f>
        <v/>
      </c>
      <c r="CK2" s="1" t="str">
        <f>IF(CK3&lt;&gt;"", "MD-" &amp; COUNTIF($D3:CK3, "&lt;&gt;"), "")</f>
        <v/>
      </c>
      <c r="CL2" s="1" t="str">
        <f>IF(CL3&lt;&gt;"", "MD-" &amp; COUNTIF($D3:CL3, "&lt;&gt;"), "")</f>
        <v/>
      </c>
      <c r="CM2" s="1" t="str">
        <f>IF(CM3&lt;&gt;"", "MD-" &amp; COUNTIF($D3:CM3, "&lt;&gt;"), "")</f>
        <v/>
      </c>
      <c r="CN2" s="1" t="str">
        <f>IF(CN3&lt;&gt;"", "MD-" &amp; COUNTIF($D3:CN3, "&lt;&gt;"), "")</f>
        <v/>
      </c>
      <c r="CO2" s="1" t="str">
        <f>IF(CO3&lt;&gt;"", "MD-" &amp; COUNTIF($D3:CO3, "&lt;&gt;"), "")</f>
        <v/>
      </c>
      <c r="CP2" s="1" t="str">
        <f>IF(CP3&lt;&gt;"", "MD-" &amp; COUNTIF($D3:CP3, "&lt;&gt;"), "")</f>
        <v/>
      </c>
      <c r="CQ2" s="1" t="str">
        <f>IF(CQ3&lt;&gt;"", "MD-" &amp; COUNTIF($D3:CQ3, "&lt;&gt;"), "")</f>
        <v/>
      </c>
      <c r="CR2" s="1" t="str">
        <f>IF(CR3&lt;&gt;"", "MD-" &amp; COUNTIF($D3:CR3, "&lt;&gt;"), "")</f>
        <v/>
      </c>
      <c r="CS2" s="1" t="str">
        <f>IF(CS3&lt;&gt;"", "MD-" &amp; COUNTIF($D3:CS3, "&lt;&gt;"), "")</f>
        <v/>
      </c>
      <c r="CT2" s="1" t="str">
        <f>IF(CT3&lt;&gt;"", "MD-" &amp; COUNTIF($D3:CT3, "&lt;&gt;"), "")</f>
        <v/>
      </c>
      <c r="CU2" s="1" t="str">
        <f>IF(CU3&lt;&gt;"", "MD-" &amp; COUNTIF($D3:CU3, "&lt;&gt;"), "")</f>
        <v/>
      </c>
      <c r="CV2" s="1" t="str">
        <f>IF(CV3&lt;&gt;"", "MD-" &amp; COUNTIF($D3:CV3, "&lt;&gt;"), "")</f>
        <v/>
      </c>
      <c r="CW2" s="1" t="str">
        <f>IF(CW3&lt;&gt;"", "MD-" &amp; COUNTIF($D3:CW3, "&lt;&gt;"), "")</f>
        <v/>
      </c>
      <c r="CX2" s="1" t="str">
        <f>IF(CX3&lt;&gt;"", "MD-" &amp; COUNTIF($D3:CX3, "&lt;&gt;"), "")</f>
        <v/>
      </c>
      <c r="CY2" s="1" t="str">
        <f>IF(CY3&lt;&gt;"", "MD-" &amp; COUNTIF($D3:CY3, "&lt;&gt;"), "")</f>
        <v/>
      </c>
      <c r="CZ2" s="1" t="str">
        <f>IF(CZ3&lt;&gt;"", "MD-" &amp; COUNTIF($D3:CZ3, "&lt;&gt;"), "")</f>
        <v/>
      </c>
      <c r="DA2" s="1" t="str">
        <f>IF(DA3&lt;&gt;"", "MD-" &amp; COUNTIF($D3:DA3, "&lt;&gt;"), "")</f>
        <v/>
      </c>
      <c r="DB2" s="1" t="str">
        <f>IF(DB3&lt;&gt;"", "MD-" &amp; COUNTIF($D3:DB3, "&lt;&gt;"), "")</f>
        <v/>
      </c>
      <c r="DC2" s="1" t="str">
        <f>IF(DC3&lt;&gt;"", "MD-" &amp; COUNTIF($D3:DC3, "&lt;&gt;"), "")</f>
        <v/>
      </c>
      <c r="DD2" s="1" t="str">
        <f>IF(DD3&lt;&gt;"", "MD-" &amp; COUNTIF($D3:DD3, "&lt;&gt;"), "")</f>
        <v/>
      </c>
      <c r="DE2" s="1" t="str">
        <f>IF(DE3&lt;&gt;"", "MD-" &amp; COUNTIF($D3:DE3, "&lt;&gt;"), "")</f>
        <v/>
      </c>
      <c r="DF2" s="1" t="str">
        <f>IF(DF3&lt;&gt;"", "MD-" &amp; COUNTIF($D3:DF3, "&lt;&gt;"), "")</f>
        <v/>
      </c>
      <c r="DG2" s="1" t="str">
        <f>IF(DG3&lt;&gt;"", "MD-" &amp; COUNTIF($D3:DG3, "&lt;&gt;"), "")</f>
        <v/>
      </c>
      <c r="DH2" s="1" t="str">
        <f>IF(DH3&lt;&gt;"", "MD-" &amp; COUNTIF($D3:DH3, "&lt;&gt;"), "")</f>
        <v/>
      </c>
      <c r="DI2" s="1" t="str">
        <f>IF(DI3&lt;&gt;"", "MD-" &amp; COUNTIF($D3:DI3, "&lt;&gt;"), "")</f>
        <v/>
      </c>
      <c r="DJ2" s="1" t="str">
        <f>IF(DJ3&lt;&gt;"", "MD-" &amp; COUNTIF($D3:DJ3, "&lt;&gt;"), "")</f>
        <v/>
      </c>
      <c r="DK2" s="1" t="str">
        <f>IF(DK3&lt;&gt;"", "MD-" &amp; COUNTIF($D3:DK3, "&lt;&gt;"), "")</f>
        <v/>
      </c>
      <c r="DL2" s="1" t="str">
        <f>IF(DL3&lt;&gt;"", "MD-" &amp; COUNTIF($D3:DL3, "&lt;&gt;"), "")</f>
        <v/>
      </c>
      <c r="DM2" s="1" t="str">
        <f>IF(DM3&lt;&gt;"", "MD-" &amp; COUNTIF($D3:DM3, "&lt;&gt;"), "")</f>
        <v/>
      </c>
      <c r="DN2" s="1" t="str">
        <f>IF(DN3&lt;&gt;"", "MD-" &amp; COUNTIF($D3:DN3, "&lt;&gt;"), "")</f>
        <v/>
      </c>
      <c r="DO2" s="1" t="str">
        <f>IF(DO3&lt;&gt;"", "MD-" &amp; COUNTIF($D3:DO3, "&lt;&gt;"), "")</f>
        <v/>
      </c>
      <c r="DP2" s="1" t="str">
        <f>IF(DP3&lt;&gt;"", "MD-" &amp; COUNTIF($D3:DP3, "&lt;&gt;"), "")</f>
        <v/>
      </c>
      <c r="DQ2" s="1" t="str">
        <f>IF(DQ3&lt;&gt;"", "MD-" &amp; COUNTIF($D3:DQ3, "&lt;&gt;"), "")</f>
        <v/>
      </c>
      <c r="DR2" s="1" t="str">
        <f>IF(DR3&lt;&gt;"", "MD-" &amp; COUNTIF($D3:DR3, "&lt;&gt;"), "")</f>
        <v/>
      </c>
      <c r="DS2" s="1" t="str">
        <f>IF(DS3&lt;&gt;"", "MD-" &amp; COUNTIF($D3:DS3, "&lt;&gt;"), "")</f>
        <v/>
      </c>
      <c r="DT2" s="1" t="str">
        <f>IF(DT3&lt;&gt;"", "MD-" &amp; COUNTIF($D3:DT3, "&lt;&gt;"), "")</f>
        <v/>
      </c>
      <c r="DU2" s="1" t="str">
        <f>IF(DU3&lt;&gt;"", "MD-" &amp; COUNTIF($D3:DU3, "&lt;&gt;"), "")</f>
        <v/>
      </c>
      <c r="DV2" s="1" t="str">
        <f>IF(DV3&lt;&gt;"", "MD-" &amp; COUNTIF($D3:DV3, "&lt;&gt;"), "")</f>
        <v/>
      </c>
      <c r="DW2" s="1" t="str">
        <f>IF(DW3&lt;&gt;"", "MD-" &amp; COUNTIF($D3:DW3, "&lt;&gt;"), "")</f>
        <v/>
      </c>
      <c r="DX2" s="1" t="str">
        <f>IF(DX3&lt;&gt;"", "MD-" &amp; COUNTIF($D3:DX3, "&lt;&gt;"), "")</f>
        <v/>
      </c>
      <c r="DY2" s="1" t="str">
        <f>IF(DY3&lt;&gt;"", "MD-" &amp; COUNTIF($D3:DY3, "&lt;&gt;"), "")</f>
        <v/>
      </c>
      <c r="DZ2" s="1" t="str">
        <f>IF(DZ3&lt;&gt;"", "MD-" &amp; COUNTIF($D3:DZ3, "&lt;&gt;"), "")</f>
        <v/>
      </c>
      <c r="EA2" s="1" t="str">
        <f>IF(EA3&lt;&gt;"", "MD-" &amp; COUNTIF($D3:EA3, "&lt;&gt;"), "")</f>
        <v/>
      </c>
      <c r="EB2" s="1" t="str">
        <f>IF(EB3&lt;&gt;"", "MD-" &amp; COUNTIF($D3:EB3, "&lt;&gt;"), "")</f>
        <v/>
      </c>
      <c r="EC2" s="1" t="str">
        <f>IF(EC3&lt;&gt;"", "MD-" &amp; COUNTIF($D3:EC3, "&lt;&gt;"), "")</f>
        <v/>
      </c>
      <c r="ED2" s="1" t="str">
        <f>IF(ED3&lt;&gt;"", "MD-" &amp; COUNTIF($D3:ED3, "&lt;&gt;"), "")</f>
        <v/>
      </c>
      <c r="EE2" s="1" t="str">
        <f>IF(EE3&lt;&gt;"", "MD-" &amp; COUNTIF($D3:EE3, "&lt;&gt;"), "")</f>
        <v/>
      </c>
      <c r="EF2" s="1" t="str">
        <f>IF(EF3&lt;&gt;"", "MD-" &amp; COUNTIF($D3:EF3, "&lt;&gt;"), "")</f>
        <v/>
      </c>
      <c r="EG2" s="1" t="str">
        <f>IF(EG3&lt;&gt;"", "MD-" &amp; COUNTIF($D3:EG3, "&lt;&gt;"), "")</f>
        <v/>
      </c>
      <c r="EH2" s="1" t="str">
        <f>IF(EH3&lt;&gt;"", "MD-" &amp; COUNTIF($D3:EH3, "&lt;&gt;"), "")</f>
        <v/>
      </c>
      <c r="EI2" s="1" t="str">
        <f>IF(EI3&lt;&gt;"", "MD-" &amp; COUNTIF($D3:EI3, "&lt;&gt;"), "")</f>
        <v/>
      </c>
      <c r="EJ2" s="1" t="str">
        <f>IF(EJ3&lt;&gt;"", "MD-" &amp; COUNTIF($D3:EJ3, "&lt;&gt;"), "")</f>
        <v/>
      </c>
      <c r="EK2" s="1" t="str">
        <f>IF(EK3&lt;&gt;"", "MD-" &amp; COUNTIF($D3:EK3, "&lt;&gt;"), "")</f>
        <v/>
      </c>
      <c r="EL2" s="1" t="str">
        <f>IF(EL3&lt;&gt;"", "MD-" &amp; COUNTIF($D3:EL3, "&lt;&gt;"), "")</f>
        <v/>
      </c>
      <c r="EM2" s="1" t="str">
        <f>IF(EM3&lt;&gt;"", "MD-" &amp; COUNTIF($D3:EM3, "&lt;&gt;"), "")</f>
        <v/>
      </c>
      <c r="EN2" s="1" t="str">
        <f>IF(EN3&lt;&gt;"", "MD-" &amp; COUNTIF($D3:EN3, "&lt;&gt;"), "")</f>
        <v/>
      </c>
      <c r="EO2" s="1" t="str">
        <f>IF(EO3&lt;&gt;"", "MD-" &amp; COUNTIF($D3:EO3, "&lt;&gt;"), "")</f>
        <v/>
      </c>
      <c r="EP2" s="1" t="str">
        <f>IF(EP3&lt;&gt;"", "MD-" &amp; COUNTIF($D3:EP3, "&lt;&gt;"), "")</f>
        <v/>
      </c>
      <c r="EQ2" s="1" t="str">
        <f>IF(EQ3&lt;&gt;"", "MD-" &amp; COUNTIF($D3:EQ3, "&lt;&gt;"), "")</f>
        <v/>
      </c>
      <c r="ER2" s="1" t="str">
        <f>IF(ER3&lt;&gt;"", "MD-" &amp; COUNTIF($D3:ER3, "&lt;&gt;"), "")</f>
        <v/>
      </c>
    </row>
    <row r="3" spans="1:148" x14ac:dyDescent="0.35">
      <c r="A3" s="1" t="s">
        <v>65</v>
      </c>
      <c r="D3" s="1" t="s">
        <v>9</v>
      </c>
      <c r="H3" s="1" t="s">
        <v>247</v>
      </c>
      <c r="I3" s="1"/>
      <c r="K3" s="1" t="s">
        <v>173</v>
      </c>
      <c r="P3" s="1" t="s">
        <v>68</v>
      </c>
      <c r="V3" s="1" t="s">
        <v>71</v>
      </c>
      <c r="AE3" s="1"/>
      <c r="AF3" s="1" t="s">
        <v>72</v>
      </c>
      <c r="AK3" s="1" t="s">
        <v>143</v>
      </c>
      <c r="AQ3" s="15" t="s">
        <v>123</v>
      </c>
      <c r="AX3" s="3" t="s">
        <v>187</v>
      </c>
      <c r="AY3" s="1"/>
      <c r="BH3" s="10" t="s">
        <v>186</v>
      </c>
    </row>
    <row r="4" spans="1:148" x14ac:dyDescent="0.35">
      <c r="A4" s="3" t="s">
        <v>6</v>
      </c>
      <c r="B4" s="3" t="s">
        <v>66</v>
      </c>
      <c r="D4" s="3" t="s">
        <v>14</v>
      </c>
      <c r="E4" s="3" t="s">
        <v>15</v>
      </c>
      <c r="F4" s="3" t="s">
        <v>13</v>
      </c>
      <c r="H4" s="11" t="s">
        <v>248</v>
      </c>
      <c r="I4" s="11" t="s">
        <v>246</v>
      </c>
      <c r="K4" s="3" t="s">
        <v>6</v>
      </c>
      <c r="L4" s="3" t="s">
        <v>29</v>
      </c>
      <c r="M4" s="3" t="s">
        <v>30</v>
      </c>
      <c r="N4" s="3" t="s">
        <v>31</v>
      </c>
      <c r="P4" s="3" t="s">
        <v>6</v>
      </c>
      <c r="Q4" s="3" t="s">
        <v>4</v>
      </c>
      <c r="R4" s="3" t="s">
        <v>5</v>
      </c>
      <c r="S4" s="3" t="s">
        <v>9</v>
      </c>
      <c r="T4" s="3" t="s">
        <v>2</v>
      </c>
      <c r="V4" s="11" t="s">
        <v>6</v>
      </c>
      <c r="W4" s="11" t="s">
        <v>72</v>
      </c>
      <c r="X4" s="11" t="s">
        <v>73</v>
      </c>
      <c r="Y4" s="11" t="s">
        <v>13</v>
      </c>
      <c r="Z4" s="11" t="s">
        <v>117</v>
      </c>
      <c r="AA4" s="11" t="s">
        <v>118</v>
      </c>
      <c r="AB4" s="11" t="s">
        <v>119</v>
      </c>
      <c r="AC4" s="11" t="s">
        <v>83</v>
      </c>
      <c r="AD4" s="11" t="s">
        <v>84</v>
      </c>
      <c r="AF4" s="11" t="s">
        <v>6</v>
      </c>
      <c r="AG4" s="3" t="s">
        <v>74</v>
      </c>
      <c r="AH4" s="11" t="s">
        <v>81</v>
      </c>
      <c r="AI4" s="11" t="s">
        <v>82</v>
      </c>
      <c r="AK4" s="11" t="s">
        <v>6</v>
      </c>
      <c r="AL4" s="11" t="s">
        <v>120</v>
      </c>
      <c r="AM4" s="3" t="s">
        <v>121</v>
      </c>
      <c r="AN4" s="3" t="s">
        <v>122</v>
      </c>
      <c r="AO4" s="3" t="s">
        <v>123</v>
      </c>
      <c r="AQ4" s="7" t="s">
        <v>6</v>
      </c>
      <c r="AR4" s="3" t="s">
        <v>144</v>
      </c>
      <c r="AS4" s="3" t="s">
        <v>123</v>
      </c>
      <c r="AT4" s="3" t="s">
        <v>145</v>
      </c>
      <c r="AU4" s="3" t="s">
        <v>146</v>
      </c>
      <c r="AV4" s="3" t="s">
        <v>147</v>
      </c>
      <c r="AX4" s="11" t="s">
        <v>174</v>
      </c>
      <c r="AY4" s="11" t="s">
        <v>250</v>
      </c>
      <c r="AZ4" s="3" t="s">
        <v>175</v>
      </c>
      <c r="BA4" s="3" t="s">
        <v>176</v>
      </c>
      <c r="BB4" s="3" t="s">
        <v>177</v>
      </c>
      <c r="BC4" s="3" t="s">
        <v>251</v>
      </c>
      <c r="BD4" s="3" t="s">
        <v>178</v>
      </c>
      <c r="BE4" s="3"/>
      <c r="BF4" s="3" t="s">
        <v>180</v>
      </c>
      <c r="BH4" s="10" t="s">
        <v>186</v>
      </c>
      <c r="BJ4" s="3" t="s">
        <v>174</v>
      </c>
      <c r="BK4" s="3" t="s">
        <v>177</v>
      </c>
      <c r="BL4" s="3" t="s">
        <v>188</v>
      </c>
      <c r="BM4" s="3" t="s">
        <v>189</v>
      </c>
      <c r="BN4" s="3" t="s">
        <v>179</v>
      </c>
      <c r="BO4" s="3" t="s">
        <v>180</v>
      </c>
    </row>
    <row r="5" spans="1:148" x14ac:dyDescent="0.35">
      <c r="A5" s="2" t="str" cm="1">
        <f t="array" ref="A5:A14">TRANSPOSE(_xlfn.UNIQUE(_xlfn._xlws.FILTER($B2:$AAC2, $B2:$AAC2&lt;&gt;"")))</f>
        <v>MD-1</v>
      </c>
      <c r="B5" s="2" t="str" cm="1">
        <f t="array" ref="B5:B14">TRANSPOSE(_xlfn.UNIQUE(_xlfn._xlws.FILTER($D3:$AAC3, $D3:$AAC3&lt;&gt;"")))</f>
        <v>Tổ chức</v>
      </c>
      <c r="D5" s="2" t="s">
        <v>10</v>
      </c>
      <c r="E5" s="2" t="s">
        <v>18</v>
      </c>
      <c r="F5" s="2" t="s">
        <v>19</v>
      </c>
      <c r="H5" s="2" t="s">
        <v>146</v>
      </c>
      <c r="I5" s="2" t="s">
        <v>170</v>
      </c>
      <c r="K5" s="8">
        <f>IF(L4&lt;&gt;"", IF(ISNUMBER(K4), K4+1, 1), "")</f>
        <v>1</v>
      </c>
      <c r="L5" s="2" t="s">
        <v>60</v>
      </c>
      <c r="M5" s="2" t="s">
        <v>32</v>
      </c>
      <c r="N5" s="2" t="s">
        <v>33</v>
      </c>
      <c r="P5" s="8">
        <f>IF(Q4&lt;&gt;"", IF(ISNUMBER(P4), P4+1, 1), "")</f>
        <v>1</v>
      </c>
      <c r="Q5" s="2" t="s">
        <v>3</v>
      </c>
      <c r="R5" s="2" t="s">
        <v>0</v>
      </c>
      <c r="S5" s="2" t="s">
        <v>10</v>
      </c>
      <c r="T5" s="2" t="s">
        <v>1</v>
      </c>
      <c r="V5" s="8">
        <f>IF(W4&lt;&gt;"", IF(ISNUMBER(V4), V4+1, 1), "")</f>
        <v>1</v>
      </c>
      <c r="W5" s="2" t="s">
        <v>75</v>
      </c>
      <c r="X5" s="2" t="s">
        <v>85</v>
      </c>
      <c r="Y5" s="2" t="s">
        <v>86</v>
      </c>
      <c r="Z5" s="2"/>
      <c r="AA5" s="2"/>
      <c r="AB5" s="2"/>
      <c r="AC5" s="8">
        <v>3.6</v>
      </c>
      <c r="AD5" s="8">
        <v>4</v>
      </c>
      <c r="AF5" s="8">
        <f>IF(AG4&lt;&gt;"", IF(ISNUMBER(AF4), AF4+1, 1), "")</f>
        <v>1</v>
      </c>
      <c r="AG5" s="2" t="s">
        <v>75</v>
      </c>
      <c r="AH5" s="2">
        <f ca="1">SUMIF(W5:AC21,AG5,AC5:AC21)</f>
        <v>11.3</v>
      </c>
      <c r="AI5" s="2">
        <f ca="1">SUMIF(W5:AD21,AG5,AD5:AD21)</f>
        <v>14</v>
      </c>
      <c r="AK5" s="8">
        <f>IF(AL4&lt;&gt;"", IF(ISNUMBER(AK4), AK4+1, 1), "")</f>
        <v>1</v>
      </c>
      <c r="AL5" s="2" t="s">
        <v>124</v>
      </c>
      <c r="AM5" s="2" t="s">
        <v>125</v>
      </c>
      <c r="AN5" s="2" t="s">
        <v>126</v>
      </c>
      <c r="AO5" s="2" t="s">
        <v>127</v>
      </c>
      <c r="AQ5" s="8">
        <f>IF(AR4&lt;&gt;"", IF(ISNUMBER(AQ4), AQ4+1, 1), "")</f>
        <v>1</v>
      </c>
      <c r="AR5" s="2" t="s">
        <v>128</v>
      </c>
      <c r="AS5" s="2" t="s">
        <v>168</v>
      </c>
      <c r="AT5" s="2" t="s">
        <v>148</v>
      </c>
      <c r="AU5" s="2" t="s">
        <v>170</v>
      </c>
      <c r="AV5" s="2" t="s">
        <v>377</v>
      </c>
      <c r="AX5" s="8">
        <v>1</v>
      </c>
      <c r="AY5" s="8" t="s">
        <v>185</v>
      </c>
      <c r="AZ5" s="2" t="s">
        <v>181</v>
      </c>
      <c r="BA5" s="2" t="s">
        <v>252</v>
      </c>
      <c r="BB5" s="2" t="s">
        <v>182</v>
      </c>
      <c r="BC5" s="2" t="s">
        <v>193</v>
      </c>
      <c r="BD5" s="2" t="s">
        <v>195</v>
      </c>
      <c r="BE5" s="2" t="str">
        <f>IFERROR(VLOOKUP(BC5,'Master Data'!$BJ$5:$BM$100,4,FALSE),"")</f>
        <v>Khu vực quy hoạch mới, hiện đại</v>
      </c>
      <c r="BF5" s="2" t="s">
        <v>268</v>
      </c>
      <c r="BG5" t="b">
        <f>BD5=BE5</f>
        <v>1</v>
      </c>
      <c r="BJ5" s="2" t="s">
        <v>190</v>
      </c>
      <c r="BK5" s="2" t="s">
        <v>182</v>
      </c>
      <c r="BL5" s="2" t="s">
        <v>34</v>
      </c>
      <c r="BM5" s="2" t="s">
        <v>191</v>
      </c>
      <c r="BN5" s="2" t="s">
        <v>192</v>
      </c>
      <c r="BO5" s="2" t="s">
        <v>313</v>
      </c>
    </row>
    <row r="6" spans="1:148" x14ac:dyDescent="0.35">
      <c r="A6" s="2" t="str">
        <v>MD-2</v>
      </c>
      <c r="B6" s="2" t="str">
        <v>Loại dữ liệu chủ</v>
      </c>
      <c r="D6" s="2" t="s">
        <v>16</v>
      </c>
      <c r="E6" s="2" t="s">
        <v>17</v>
      </c>
      <c r="F6" s="2" t="s">
        <v>20</v>
      </c>
      <c r="H6" s="2" t="s">
        <v>146</v>
      </c>
      <c r="I6" s="12" t="s">
        <v>171</v>
      </c>
      <c r="K6" s="8">
        <f t="shared" ref="K6:K18" si="0">IF(L5&lt;&gt;"", IF(ISNUMBER(K5), K5+1, 1), "")</f>
        <v>2</v>
      </c>
      <c r="L6" s="2" t="s">
        <v>60</v>
      </c>
      <c r="M6" s="2" t="s">
        <v>34</v>
      </c>
      <c r="N6" s="2" t="s">
        <v>35</v>
      </c>
      <c r="P6" s="8">
        <f t="shared" ref="P6:P18" si="1">IF(Q5&lt;&gt;"", IF(ISNUMBER(P5), P5+1, 1), "")</f>
        <v>2</v>
      </c>
      <c r="Q6" s="2" t="s">
        <v>8</v>
      </c>
      <c r="R6" s="2" t="s">
        <v>7</v>
      </c>
      <c r="S6" s="2" t="s">
        <v>16</v>
      </c>
      <c r="T6" s="2" t="s">
        <v>11</v>
      </c>
      <c r="V6" s="8">
        <f t="shared" ref="V6:V30" si="2">IF(W5&lt;&gt;"", IF(ISNUMBER(V5), V5+1, 1), "")</f>
        <v>2</v>
      </c>
      <c r="W6" s="2" t="s">
        <v>75</v>
      </c>
      <c r="X6" s="2" t="s">
        <v>87</v>
      </c>
      <c r="Y6" s="2" t="s">
        <v>88</v>
      </c>
      <c r="Z6" s="2"/>
      <c r="AA6" s="2"/>
      <c r="AB6" s="2"/>
      <c r="AC6" s="8">
        <v>1</v>
      </c>
      <c r="AD6" s="8">
        <v>1.5</v>
      </c>
      <c r="AF6" s="8">
        <f t="shared" ref="AF6:AF20" si="3">IF(AG5&lt;&gt;"", IF(ISNUMBER(AF5), AF5+1, 1), "")</f>
        <v>2</v>
      </c>
      <c r="AG6" s="2" t="s">
        <v>76</v>
      </c>
      <c r="AH6" s="2">
        <f t="shared" ref="AH6:AH10" ca="1" si="4">SUMIF(W6:AC22,AG6,AC6:AC22)</f>
        <v>4</v>
      </c>
      <c r="AI6" s="2">
        <f t="shared" ref="AI6:AI10" ca="1" si="5">SUMIF(W6:AD22,AG6,AD6:AD22)</f>
        <v>4.5</v>
      </c>
      <c r="AK6" s="8">
        <f t="shared" ref="AK6:AK20" si="6">IF(AL5&lt;&gt;"", IF(ISNUMBER(AK5), AK5+1, 1), "")</f>
        <v>2</v>
      </c>
      <c r="AL6" s="2" t="s">
        <v>128</v>
      </c>
      <c r="AM6" s="2" t="s">
        <v>129</v>
      </c>
      <c r="AN6" s="2" t="s">
        <v>130</v>
      </c>
      <c r="AO6" s="2" t="s">
        <v>131</v>
      </c>
      <c r="AQ6" s="8">
        <f t="shared" ref="AQ6:AQ30" si="7">IF(AR5&lt;&gt;"", IF(ISNUMBER(AQ5), AQ5+1, 1), "")</f>
        <v>2</v>
      </c>
      <c r="AR6" s="2" t="s">
        <v>128</v>
      </c>
      <c r="AS6" s="2" t="s">
        <v>169</v>
      </c>
      <c r="AT6" s="2" t="s">
        <v>148</v>
      </c>
      <c r="AU6" s="2" t="s">
        <v>170</v>
      </c>
      <c r="AV6" s="2" t="s">
        <v>149</v>
      </c>
      <c r="AX6" s="8">
        <v>2</v>
      </c>
      <c r="AY6" s="8" t="s">
        <v>185</v>
      </c>
      <c r="AZ6" s="2" t="s">
        <v>181</v>
      </c>
      <c r="BA6" s="2" t="s">
        <v>252</v>
      </c>
      <c r="BB6" s="2" t="s">
        <v>182</v>
      </c>
      <c r="BC6" s="2" t="s">
        <v>200</v>
      </c>
      <c r="BD6" s="2" t="s">
        <v>202</v>
      </c>
      <c r="BE6" s="2" t="str">
        <f>IFERROR(VLOOKUP(BC6,'Master Data'!$BJ$5:$BM$100,4,FALSE),"")</f>
        <v>Tiềm năng tăng giá, nhiều dự án mới</v>
      </c>
      <c r="BF6" s="2" t="s">
        <v>269</v>
      </c>
      <c r="BG6" t="b">
        <f t="shared" ref="BG6:BG50" si="8">BD6=BE6</f>
        <v>1</v>
      </c>
      <c r="BJ6" s="2" t="s">
        <v>314</v>
      </c>
      <c r="BK6" s="2" t="s">
        <v>182</v>
      </c>
      <c r="BL6" s="2" t="s">
        <v>34</v>
      </c>
      <c r="BM6" s="2" t="s">
        <v>315</v>
      </c>
      <c r="BN6" s="2" t="s">
        <v>316</v>
      </c>
      <c r="BO6" s="2" t="s">
        <v>317</v>
      </c>
    </row>
    <row r="7" spans="1:148" x14ac:dyDescent="0.35">
      <c r="A7" s="2" t="str">
        <v>MD-3</v>
      </c>
      <c r="B7" s="2" t="str">
        <v>Tiêu chí chọn trọ, chọn nhà</v>
      </c>
      <c r="D7" s="2" t="s">
        <v>12</v>
      </c>
      <c r="E7" s="2"/>
      <c r="F7" s="2" t="s">
        <v>21</v>
      </c>
      <c r="H7" s="2" t="s">
        <v>146</v>
      </c>
      <c r="I7" s="12" t="s">
        <v>172</v>
      </c>
      <c r="K7" s="8">
        <f t="shared" si="0"/>
        <v>3</v>
      </c>
      <c r="L7" s="2" t="s">
        <v>60</v>
      </c>
      <c r="M7" s="2" t="s">
        <v>36</v>
      </c>
      <c r="N7" s="2" t="s">
        <v>37</v>
      </c>
      <c r="P7" s="8">
        <f t="shared" si="1"/>
        <v>3</v>
      </c>
      <c r="Q7" s="2" t="s">
        <v>23</v>
      </c>
      <c r="R7" s="2" t="s">
        <v>22</v>
      </c>
      <c r="S7" s="2" t="s">
        <v>12</v>
      </c>
      <c r="T7" s="2" t="s">
        <v>24</v>
      </c>
      <c r="V7" s="8">
        <f t="shared" si="2"/>
        <v>3</v>
      </c>
      <c r="W7" s="2" t="s">
        <v>75</v>
      </c>
      <c r="X7" s="2" t="s">
        <v>89</v>
      </c>
      <c r="Y7" s="2" t="s">
        <v>90</v>
      </c>
      <c r="Z7" s="2"/>
      <c r="AA7" s="2"/>
      <c r="AB7" s="2"/>
      <c r="AC7" s="8">
        <v>1.5</v>
      </c>
      <c r="AD7" s="8">
        <v>2</v>
      </c>
      <c r="AF7" s="8">
        <f t="shared" si="3"/>
        <v>3</v>
      </c>
      <c r="AG7" s="2" t="s">
        <v>77</v>
      </c>
      <c r="AH7" s="2">
        <f t="shared" ca="1" si="4"/>
        <v>13.5</v>
      </c>
      <c r="AI7" s="2">
        <f t="shared" ca="1" si="5"/>
        <v>17</v>
      </c>
      <c r="AK7" s="8">
        <f t="shared" si="6"/>
        <v>3</v>
      </c>
      <c r="AL7" s="2" t="s">
        <v>132</v>
      </c>
      <c r="AM7" s="2" t="s">
        <v>133</v>
      </c>
      <c r="AN7" s="2" t="s">
        <v>130</v>
      </c>
      <c r="AO7" s="2" t="s">
        <v>134</v>
      </c>
      <c r="AQ7" s="8">
        <f t="shared" si="7"/>
        <v>3</v>
      </c>
      <c r="AR7" s="2" t="s">
        <v>128</v>
      </c>
      <c r="AS7" s="2" t="s">
        <v>150</v>
      </c>
      <c r="AT7" s="2" t="s">
        <v>148</v>
      </c>
      <c r="AU7" s="2" t="s">
        <v>170</v>
      </c>
      <c r="AV7" s="2" t="s">
        <v>151</v>
      </c>
      <c r="AX7" s="8">
        <v>3</v>
      </c>
      <c r="AY7" s="8" t="s">
        <v>185</v>
      </c>
      <c r="AZ7" s="2" t="s">
        <v>181</v>
      </c>
      <c r="BA7" s="2" t="s">
        <v>252</v>
      </c>
      <c r="BB7" s="2" t="s">
        <v>182</v>
      </c>
      <c r="BC7" s="2" t="s">
        <v>376</v>
      </c>
      <c r="BD7" s="2" t="s">
        <v>225</v>
      </c>
      <c r="BE7" s="2" t="str">
        <f>IFERROR(VLOOKUP(BC7,'Master Data'!$BJ$5:$BM$100,4,FALSE),"")</f>
        <v/>
      </c>
      <c r="BF7" s="2" t="s">
        <v>270</v>
      </c>
      <c r="BG7" t="b">
        <f t="shared" si="8"/>
        <v>0</v>
      </c>
      <c r="BJ7" s="2" t="s">
        <v>318</v>
      </c>
      <c r="BK7" s="2" t="s">
        <v>182</v>
      </c>
      <c r="BL7" s="2" t="s">
        <v>34</v>
      </c>
      <c r="BM7" s="2" t="s">
        <v>319</v>
      </c>
      <c r="BN7" s="2" t="s">
        <v>320</v>
      </c>
      <c r="BO7" s="2" t="s">
        <v>321</v>
      </c>
    </row>
    <row r="8" spans="1:148" x14ac:dyDescent="0.35">
      <c r="A8" s="2" t="str">
        <v>MD-4</v>
      </c>
      <c r="B8" s="2" t="str">
        <v>Chủ đề</v>
      </c>
      <c r="D8" s="2"/>
      <c r="E8" s="2"/>
      <c r="F8" s="2"/>
      <c r="H8" s="13" t="s">
        <v>249</v>
      </c>
      <c r="I8" s="2" t="s">
        <v>182</v>
      </c>
      <c r="K8" s="8">
        <f t="shared" si="0"/>
        <v>4</v>
      </c>
      <c r="L8" s="2" t="s">
        <v>61</v>
      </c>
      <c r="M8" s="2" t="s">
        <v>38</v>
      </c>
      <c r="N8" s="2" t="s">
        <v>39</v>
      </c>
      <c r="P8" s="8">
        <f t="shared" si="1"/>
        <v>4</v>
      </c>
      <c r="Q8" s="2"/>
      <c r="R8" s="2"/>
      <c r="S8" s="2"/>
      <c r="T8" s="2"/>
      <c r="V8" s="8">
        <f t="shared" si="2"/>
        <v>4</v>
      </c>
      <c r="W8" s="2" t="s">
        <v>75</v>
      </c>
      <c r="X8" s="2" t="s">
        <v>91</v>
      </c>
      <c r="Y8" s="2" t="s">
        <v>92</v>
      </c>
      <c r="Z8" s="2"/>
      <c r="AA8" s="2"/>
      <c r="AB8" s="2"/>
      <c r="AC8" s="8">
        <v>1.2</v>
      </c>
      <c r="AD8" s="8">
        <v>1.5</v>
      </c>
      <c r="AF8" s="8">
        <f t="shared" si="3"/>
        <v>4</v>
      </c>
      <c r="AG8" s="2" t="s">
        <v>78</v>
      </c>
      <c r="AH8" s="2">
        <f t="shared" ca="1" si="4"/>
        <v>9.5</v>
      </c>
      <c r="AI8" s="2">
        <f t="shared" ca="1" si="5"/>
        <v>11.5</v>
      </c>
      <c r="AK8" s="8">
        <f t="shared" si="6"/>
        <v>4</v>
      </c>
      <c r="AL8" s="2" t="s">
        <v>135</v>
      </c>
      <c r="AM8" s="2" t="s">
        <v>136</v>
      </c>
      <c r="AN8" s="2" t="s">
        <v>137</v>
      </c>
      <c r="AO8" s="2" t="s">
        <v>138</v>
      </c>
      <c r="AQ8" s="8">
        <f t="shared" si="7"/>
        <v>4</v>
      </c>
      <c r="AR8" s="2" t="s">
        <v>128</v>
      </c>
      <c r="AS8" s="2" t="s">
        <v>150</v>
      </c>
      <c r="AT8" s="2" t="s">
        <v>148</v>
      </c>
      <c r="AU8" s="2" t="s">
        <v>170</v>
      </c>
      <c r="AV8" s="2" t="s">
        <v>151</v>
      </c>
      <c r="AX8" s="8">
        <v>4</v>
      </c>
      <c r="AY8" s="8" t="s">
        <v>185</v>
      </c>
      <c r="AZ8" s="2" t="s">
        <v>181</v>
      </c>
      <c r="BA8" s="2" t="s">
        <v>252</v>
      </c>
      <c r="BB8" s="2" t="s">
        <v>183</v>
      </c>
      <c r="BC8" s="2" t="s">
        <v>271</v>
      </c>
      <c r="BD8" s="2" t="s">
        <v>272</v>
      </c>
      <c r="BE8" s="2" t="str">
        <f>IFERROR(VLOOKUP(BC8,'Master Data'!$BJ$5:$BM$100,4,FALSE),"")</f>
        <v>Kết nối phụ thuộc cầu/đường độc đạo</v>
      </c>
      <c r="BF8" s="2" t="s">
        <v>273</v>
      </c>
      <c r="BG8" t="b">
        <f t="shared" si="8"/>
        <v>1</v>
      </c>
      <c r="BJ8" s="2" t="s">
        <v>193</v>
      </c>
      <c r="BK8" s="2" t="s">
        <v>182</v>
      </c>
      <c r="BL8" s="2" t="s">
        <v>194</v>
      </c>
      <c r="BM8" s="2" t="s">
        <v>195</v>
      </c>
      <c r="BN8" s="2" t="s">
        <v>196</v>
      </c>
      <c r="BO8" s="2" t="s">
        <v>322</v>
      </c>
    </row>
    <row r="9" spans="1:148" x14ac:dyDescent="0.35">
      <c r="A9" s="2" t="str">
        <v>MD-5</v>
      </c>
      <c r="B9" s="2" t="str">
        <v>Ngôi nhà mơ ước</v>
      </c>
      <c r="D9" s="2"/>
      <c r="E9" s="2"/>
      <c r="F9" s="2"/>
      <c r="H9" s="13" t="s">
        <v>249</v>
      </c>
      <c r="I9" s="2" t="s">
        <v>183</v>
      </c>
      <c r="K9" s="8">
        <f t="shared" si="0"/>
        <v>5</v>
      </c>
      <c r="L9" s="2" t="s">
        <v>61</v>
      </c>
      <c r="M9" s="2" t="s">
        <v>40</v>
      </c>
      <c r="N9" s="2" t="s">
        <v>41</v>
      </c>
      <c r="P9" s="8" t="str">
        <f t="shared" si="1"/>
        <v/>
      </c>
      <c r="Q9" s="2"/>
      <c r="R9" s="2"/>
      <c r="S9" s="2"/>
      <c r="T9" s="2"/>
      <c r="V9" s="8">
        <f t="shared" si="2"/>
        <v>5</v>
      </c>
      <c r="W9" s="2" t="s">
        <v>75</v>
      </c>
      <c r="X9" s="2" t="s">
        <v>93</v>
      </c>
      <c r="Y9" s="2" t="s">
        <v>94</v>
      </c>
      <c r="Z9" s="2"/>
      <c r="AA9" s="2"/>
      <c r="AB9" s="2"/>
      <c r="AC9" s="8">
        <v>4</v>
      </c>
      <c r="AD9" s="8">
        <v>5</v>
      </c>
      <c r="AF9" s="8">
        <f t="shared" si="3"/>
        <v>5</v>
      </c>
      <c r="AG9" s="2" t="s">
        <v>79</v>
      </c>
      <c r="AH9" s="2">
        <f t="shared" ca="1" si="4"/>
        <v>5</v>
      </c>
      <c r="AI9" s="2">
        <f t="shared" ca="1" si="5"/>
        <v>6.5</v>
      </c>
      <c r="AK9" s="8">
        <f t="shared" si="6"/>
        <v>5</v>
      </c>
      <c r="AL9" s="2" t="s">
        <v>139</v>
      </c>
      <c r="AM9" s="2" t="s">
        <v>140</v>
      </c>
      <c r="AN9" s="2" t="s">
        <v>141</v>
      </c>
      <c r="AO9" s="2" t="s">
        <v>142</v>
      </c>
      <c r="AQ9" s="8">
        <f t="shared" si="7"/>
        <v>5</v>
      </c>
      <c r="AR9" s="2" t="s">
        <v>132</v>
      </c>
      <c r="AS9" s="2" t="s">
        <v>152</v>
      </c>
      <c r="AT9" s="2" t="s">
        <v>137</v>
      </c>
      <c r="AU9" s="2" t="s">
        <v>170</v>
      </c>
      <c r="AV9" s="2" t="s">
        <v>153</v>
      </c>
      <c r="AX9" s="8">
        <v>5</v>
      </c>
      <c r="AY9" s="8" t="s">
        <v>185</v>
      </c>
      <c r="AZ9" s="2" t="s">
        <v>181</v>
      </c>
      <c r="BA9" s="2" t="s">
        <v>253</v>
      </c>
      <c r="BB9" s="2" t="s">
        <v>182</v>
      </c>
      <c r="BC9" s="2" t="s">
        <v>197</v>
      </c>
      <c r="BD9" s="2" t="s">
        <v>198</v>
      </c>
      <c r="BE9" s="2" t="str">
        <f>IFERROR(VLOOKUP(BC9,'Master Data'!$BJ$5:$BM$100,4,FALSE),"")</f>
        <v>Nhiều cây xanh, không gian thoáng</v>
      </c>
      <c r="BF9" s="2" t="s">
        <v>274</v>
      </c>
      <c r="BG9" t="b">
        <f t="shared" si="8"/>
        <v>1</v>
      </c>
      <c r="BJ9" s="2" t="s">
        <v>323</v>
      </c>
      <c r="BK9" s="2" t="s">
        <v>182</v>
      </c>
      <c r="BL9" s="2" t="s">
        <v>194</v>
      </c>
      <c r="BM9" s="2" t="s">
        <v>324</v>
      </c>
      <c r="BN9" s="2" t="s">
        <v>325</v>
      </c>
      <c r="BO9" s="2" t="s">
        <v>326</v>
      </c>
    </row>
    <row r="10" spans="1:148" x14ac:dyDescent="0.35">
      <c r="A10" s="2" t="str">
        <v>MD-6</v>
      </c>
      <c r="B10" s="2" t="str">
        <v>Phòng</v>
      </c>
      <c r="D10" s="2"/>
      <c r="E10" s="2"/>
      <c r="F10" s="2"/>
      <c r="K10" s="8">
        <f t="shared" si="0"/>
        <v>6</v>
      </c>
      <c r="L10" s="2" t="s">
        <v>62</v>
      </c>
      <c r="M10" s="2" t="s">
        <v>42</v>
      </c>
      <c r="N10" s="2" t="s">
        <v>43</v>
      </c>
      <c r="P10" s="8" t="str">
        <f t="shared" si="1"/>
        <v/>
      </c>
      <c r="Q10" s="2"/>
      <c r="R10" s="2"/>
      <c r="S10" s="2"/>
      <c r="T10" s="2"/>
      <c r="V10" s="8">
        <f t="shared" si="2"/>
        <v>6</v>
      </c>
      <c r="W10" s="2" t="s">
        <v>76</v>
      </c>
      <c r="X10" s="2" t="s">
        <v>95</v>
      </c>
      <c r="Y10" s="2" t="s">
        <v>96</v>
      </c>
      <c r="Z10" s="2"/>
      <c r="AA10" s="2"/>
      <c r="AB10" s="2"/>
      <c r="AC10" s="8">
        <v>3.2</v>
      </c>
      <c r="AD10" s="8">
        <v>3.5</v>
      </c>
      <c r="AF10" s="8">
        <f t="shared" si="3"/>
        <v>6</v>
      </c>
      <c r="AG10" s="2" t="s">
        <v>80</v>
      </c>
      <c r="AH10" s="2">
        <f t="shared" ca="1" si="4"/>
        <v>3</v>
      </c>
      <c r="AI10" s="2">
        <f t="shared" ca="1" si="5"/>
        <v>3.7</v>
      </c>
      <c r="AK10" s="8">
        <f t="shared" si="6"/>
        <v>6</v>
      </c>
      <c r="AL10" s="2"/>
      <c r="AM10" s="2"/>
      <c r="AN10" s="2"/>
      <c r="AO10" s="2"/>
      <c r="AQ10" s="8">
        <f t="shared" si="7"/>
        <v>6</v>
      </c>
      <c r="AR10" s="2" t="s">
        <v>135</v>
      </c>
      <c r="AS10" s="2" t="s">
        <v>154</v>
      </c>
      <c r="AT10" s="2" t="s">
        <v>155</v>
      </c>
      <c r="AU10" s="2" t="s">
        <v>170</v>
      </c>
      <c r="AV10" s="2" t="s">
        <v>156</v>
      </c>
      <c r="AX10" s="8">
        <v>6</v>
      </c>
      <c r="AY10" s="8" t="s">
        <v>185</v>
      </c>
      <c r="AZ10" s="2" t="s">
        <v>181</v>
      </c>
      <c r="BA10" s="2" t="s">
        <v>253</v>
      </c>
      <c r="BB10" s="2" t="s">
        <v>182</v>
      </c>
      <c r="BC10" s="2" t="s">
        <v>215</v>
      </c>
      <c r="BD10" s="2" t="s">
        <v>217</v>
      </c>
      <c r="BE10" s="2" t="str">
        <f>IFERROR(VLOOKUP(BC10,'Master Data'!$BJ$5:$BM$100,4,FALSE),"")</f>
        <v>Gần khu công nghệ cao, đại học</v>
      </c>
      <c r="BF10" s="2" t="s">
        <v>275</v>
      </c>
      <c r="BG10" t="b">
        <f t="shared" si="8"/>
        <v>1</v>
      </c>
      <c r="BJ10" s="2" t="s">
        <v>327</v>
      </c>
      <c r="BK10" s="2" t="s">
        <v>182</v>
      </c>
      <c r="BL10" s="2" t="s">
        <v>194</v>
      </c>
      <c r="BM10" s="2" t="s">
        <v>328</v>
      </c>
      <c r="BN10" s="2" t="s">
        <v>329</v>
      </c>
      <c r="BO10" s="2" t="s">
        <v>330</v>
      </c>
    </row>
    <row r="11" spans="1:148" x14ac:dyDescent="0.35">
      <c r="A11" s="2" t="str">
        <v>MD-7</v>
      </c>
      <c r="B11" s="2" t="str">
        <v>Mục tiêu và hành động cụ thể</v>
      </c>
      <c r="D11" s="2"/>
      <c r="E11" s="2"/>
      <c r="F11" s="2"/>
      <c r="K11" s="8">
        <f t="shared" si="0"/>
        <v>7</v>
      </c>
      <c r="L11" s="2" t="s">
        <v>62</v>
      </c>
      <c r="M11" s="2" t="s">
        <v>44</v>
      </c>
      <c r="N11" s="2" t="s">
        <v>45</v>
      </c>
      <c r="P11" s="8" t="str">
        <f t="shared" si="1"/>
        <v/>
      </c>
      <c r="Q11" s="2"/>
      <c r="R11" s="2"/>
      <c r="S11" s="2"/>
      <c r="T11" s="2"/>
      <c r="V11" s="8">
        <f t="shared" si="2"/>
        <v>7</v>
      </c>
      <c r="W11" s="2" t="s">
        <v>76</v>
      </c>
      <c r="X11" s="2" t="s">
        <v>97</v>
      </c>
      <c r="Y11" s="2" t="s">
        <v>98</v>
      </c>
      <c r="Z11" s="2"/>
      <c r="AA11" s="2"/>
      <c r="AB11" s="2"/>
      <c r="AC11" s="8">
        <v>0.8</v>
      </c>
      <c r="AD11" s="8">
        <v>1</v>
      </c>
      <c r="AF11" s="8">
        <f t="shared" si="3"/>
        <v>7</v>
      </c>
      <c r="AG11" s="2"/>
      <c r="AH11" s="2"/>
      <c r="AI11" s="2"/>
      <c r="AK11" s="8" t="str">
        <f t="shared" si="6"/>
        <v/>
      </c>
      <c r="AL11" s="2"/>
      <c r="AM11" s="2"/>
      <c r="AN11" s="2"/>
      <c r="AO11" s="2"/>
      <c r="AQ11" s="8">
        <f t="shared" si="7"/>
        <v>7</v>
      </c>
      <c r="AR11" s="2" t="s">
        <v>139</v>
      </c>
      <c r="AS11" s="2" t="s">
        <v>157</v>
      </c>
      <c r="AT11" s="2" t="s">
        <v>158</v>
      </c>
      <c r="AU11" s="2" t="s">
        <v>170</v>
      </c>
      <c r="AV11" s="2" t="s">
        <v>159</v>
      </c>
      <c r="AX11" s="8">
        <v>7</v>
      </c>
      <c r="AY11" s="8" t="s">
        <v>185</v>
      </c>
      <c r="AZ11" s="2" t="s">
        <v>181</v>
      </c>
      <c r="BA11" s="2" t="s">
        <v>253</v>
      </c>
      <c r="BB11" s="2" t="s">
        <v>182</v>
      </c>
      <c r="BC11" s="2" t="s">
        <v>211</v>
      </c>
      <c r="BD11" s="2" t="s">
        <v>213</v>
      </c>
      <c r="BE11" s="2" t="str">
        <f>IFERROR(VLOOKUP(BC11,'Master Data'!$BJ$5:$BM$100,4,FALSE),"")</f>
        <v>Giá còn mềm so với trung tâm</v>
      </c>
      <c r="BF11" s="2" t="s">
        <v>276</v>
      </c>
      <c r="BG11" t="b">
        <f t="shared" si="8"/>
        <v>1</v>
      </c>
      <c r="BJ11" s="2" t="s">
        <v>197</v>
      </c>
      <c r="BK11" s="2" t="s">
        <v>182</v>
      </c>
      <c r="BL11" s="2" t="s">
        <v>63</v>
      </c>
      <c r="BM11" s="2" t="s">
        <v>198</v>
      </c>
      <c r="BN11" s="2" t="s">
        <v>199</v>
      </c>
      <c r="BO11" s="2" t="s">
        <v>331</v>
      </c>
    </row>
    <row r="12" spans="1:148" x14ac:dyDescent="0.35">
      <c r="A12" s="2" t="str">
        <v>MD-8</v>
      </c>
      <c r="B12" s="2" t="str">
        <v>Hành động cụ thể</v>
      </c>
      <c r="D12" s="2"/>
      <c r="E12" s="2"/>
      <c r="F12" s="2"/>
      <c r="K12" s="8">
        <f t="shared" si="0"/>
        <v>8</v>
      </c>
      <c r="L12" s="2" t="s">
        <v>62</v>
      </c>
      <c r="M12" s="2" t="s">
        <v>46</v>
      </c>
      <c r="N12" s="2" t="s">
        <v>47</v>
      </c>
      <c r="P12" s="8" t="str">
        <f t="shared" si="1"/>
        <v/>
      </c>
      <c r="Q12" s="2"/>
      <c r="R12" s="2"/>
      <c r="S12" s="2"/>
      <c r="T12" s="2"/>
      <c r="V12" s="8">
        <f t="shared" si="2"/>
        <v>8</v>
      </c>
      <c r="W12" s="2" t="s">
        <v>77</v>
      </c>
      <c r="X12" s="2" t="s">
        <v>99</v>
      </c>
      <c r="Y12" s="2" t="s">
        <v>100</v>
      </c>
      <c r="Z12" s="2"/>
      <c r="AA12" s="2"/>
      <c r="AB12" s="2"/>
      <c r="AC12" s="8">
        <v>12</v>
      </c>
      <c r="AD12" s="8">
        <v>15</v>
      </c>
      <c r="AF12" s="8" t="str">
        <f t="shared" si="3"/>
        <v/>
      </c>
      <c r="AG12" s="2"/>
      <c r="AH12" s="2"/>
      <c r="AI12" s="2"/>
      <c r="AK12" s="8" t="str">
        <f t="shared" si="6"/>
        <v/>
      </c>
      <c r="AL12" s="2"/>
      <c r="AM12" s="2"/>
      <c r="AN12" s="2"/>
      <c r="AO12" s="2"/>
      <c r="AQ12" s="8">
        <f t="shared" si="7"/>
        <v>8</v>
      </c>
      <c r="AR12" s="2" t="s">
        <v>139</v>
      </c>
      <c r="AS12" s="2" t="s">
        <v>160</v>
      </c>
      <c r="AT12" s="2" t="s">
        <v>158</v>
      </c>
      <c r="AU12" s="2" t="s">
        <v>170</v>
      </c>
      <c r="AV12" s="2" t="s">
        <v>161</v>
      </c>
      <c r="AX12" s="8">
        <v>8</v>
      </c>
      <c r="AY12" s="8" t="s">
        <v>185</v>
      </c>
      <c r="AZ12" s="2" t="s">
        <v>181</v>
      </c>
      <c r="BA12" s="2" t="s">
        <v>253</v>
      </c>
      <c r="BB12" s="2" t="s">
        <v>183</v>
      </c>
      <c r="BC12" s="2" t="s">
        <v>227</v>
      </c>
      <c r="BD12" s="2" t="s">
        <v>228</v>
      </c>
      <c r="BE12" s="2" t="str">
        <f>IFERROR(VLOOKUP(BC12,'Master Data'!$BJ$5:$BM$100,4,FALSE),"")</f>
        <v>Kẹt xe, di chuyển khó, xa trung tâm</v>
      </c>
      <c r="BF12" s="2" t="s">
        <v>277</v>
      </c>
      <c r="BG12" t="b">
        <f t="shared" si="8"/>
        <v>1</v>
      </c>
      <c r="BJ12" s="2" t="s">
        <v>332</v>
      </c>
      <c r="BK12" s="2" t="s">
        <v>182</v>
      </c>
      <c r="BL12" s="2" t="s">
        <v>63</v>
      </c>
      <c r="BM12" s="2" t="s">
        <v>333</v>
      </c>
      <c r="BN12" s="2" t="s">
        <v>334</v>
      </c>
      <c r="BO12" s="2" t="s">
        <v>335</v>
      </c>
    </row>
    <row r="13" spans="1:148" x14ac:dyDescent="0.35">
      <c r="A13" s="2" t="str">
        <v>MD-9</v>
      </c>
      <c r="B13" s="2" t="str">
        <v>Danh sách các khu vực muốn sống</v>
      </c>
      <c r="D13" s="2"/>
      <c r="E13" s="2"/>
      <c r="F13" s="2"/>
      <c r="K13" s="8">
        <f t="shared" si="0"/>
        <v>9</v>
      </c>
      <c r="L13" s="2" t="s">
        <v>62</v>
      </c>
      <c r="M13" s="2" t="s">
        <v>48</v>
      </c>
      <c r="N13" s="2" t="s">
        <v>49</v>
      </c>
      <c r="P13" s="8" t="str">
        <f t="shared" si="1"/>
        <v/>
      </c>
      <c r="Q13" s="2"/>
      <c r="R13" s="2"/>
      <c r="S13" s="2"/>
      <c r="T13" s="2"/>
      <c r="V13" s="8">
        <f t="shared" si="2"/>
        <v>9</v>
      </c>
      <c r="W13" s="2" t="s">
        <v>77</v>
      </c>
      <c r="X13" s="2" t="s">
        <v>101</v>
      </c>
      <c r="Y13" s="2" t="s">
        <v>102</v>
      </c>
      <c r="Z13" s="2"/>
      <c r="AA13" s="2"/>
      <c r="AB13" s="2"/>
      <c r="AC13" s="8">
        <v>1.5</v>
      </c>
      <c r="AD13" s="8">
        <v>2</v>
      </c>
      <c r="AF13" s="8" t="str">
        <f t="shared" si="3"/>
        <v/>
      </c>
      <c r="AG13" s="2"/>
      <c r="AH13" s="2"/>
      <c r="AI13" s="2"/>
      <c r="AK13" s="8" t="str">
        <f t="shared" si="6"/>
        <v/>
      </c>
      <c r="AL13" s="2"/>
      <c r="AM13" s="2"/>
      <c r="AN13" s="2"/>
      <c r="AO13" s="2"/>
      <c r="AQ13" s="8">
        <f t="shared" si="7"/>
        <v>9</v>
      </c>
      <c r="AR13" s="2" t="s">
        <v>139</v>
      </c>
      <c r="AS13" s="2" t="s">
        <v>162</v>
      </c>
      <c r="AT13" s="2" t="s">
        <v>158</v>
      </c>
      <c r="AU13" s="2" t="s">
        <v>170</v>
      </c>
      <c r="AV13" s="2" t="s">
        <v>163</v>
      </c>
      <c r="AX13" s="8">
        <v>9</v>
      </c>
      <c r="AY13" s="8" t="s">
        <v>185</v>
      </c>
      <c r="AZ13" s="2" t="s">
        <v>181</v>
      </c>
      <c r="BA13" s="2" t="s">
        <v>253</v>
      </c>
      <c r="BB13" s="2" t="s">
        <v>183</v>
      </c>
      <c r="BC13" s="2" t="s">
        <v>229</v>
      </c>
      <c r="BD13" s="2" t="s">
        <v>231</v>
      </c>
      <c r="BE13" s="2" t="str">
        <f>IFERROR(VLOOKUP(BC13,'Master Data'!$BJ$5:$BM$100,4,FALSE),"")</f>
        <v>Hạ tầng cũ, đường nhỏ, dễ ngập</v>
      </c>
      <c r="BF13" s="2" t="s">
        <v>278</v>
      </c>
      <c r="BG13" t="b">
        <f t="shared" si="8"/>
        <v>1</v>
      </c>
      <c r="BJ13" s="2" t="s">
        <v>200</v>
      </c>
      <c r="BK13" s="2" t="s">
        <v>182</v>
      </c>
      <c r="BL13" s="2" t="s">
        <v>201</v>
      </c>
      <c r="BM13" s="2" t="s">
        <v>202</v>
      </c>
      <c r="BN13" s="2" t="s">
        <v>203</v>
      </c>
      <c r="BO13" s="2" t="s">
        <v>336</v>
      </c>
    </row>
    <row r="14" spans="1:148" x14ac:dyDescent="0.35">
      <c r="A14" s="2" t="str">
        <v>MD-10</v>
      </c>
      <c r="B14" s="2" t="str">
        <v>Tỉnh Thành</v>
      </c>
      <c r="D14" s="2"/>
      <c r="E14" s="2"/>
      <c r="F14" s="2"/>
      <c r="K14" s="8">
        <f t="shared" si="0"/>
        <v>10</v>
      </c>
      <c r="L14" s="2" t="s">
        <v>63</v>
      </c>
      <c r="M14" s="2" t="s">
        <v>50</v>
      </c>
      <c r="N14" s="2" t="s">
        <v>51</v>
      </c>
      <c r="P14" s="8" t="str">
        <f t="shared" si="1"/>
        <v/>
      </c>
      <c r="Q14" s="2"/>
      <c r="R14" s="2"/>
      <c r="S14" s="2"/>
      <c r="T14" s="2"/>
      <c r="V14" s="8">
        <f t="shared" si="2"/>
        <v>10</v>
      </c>
      <c r="W14" s="2" t="s">
        <v>78</v>
      </c>
      <c r="X14" s="2" t="s">
        <v>103</v>
      </c>
      <c r="Y14" s="2" t="s">
        <v>104</v>
      </c>
      <c r="Z14" s="2"/>
      <c r="AA14" s="2"/>
      <c r="AB14" s="2"/>
      <c r="AC14" s="8">
        <v>6</v>
      </c>
      <c r="AD14" s="8">
        <v>7</v>
      </c>
      <c r="AF14" s="8" t="str">
        <f t="shared" si="3"/>
        <v/>
      </c>
      <c r="AG14" s="2"/>
      <c r="AH14" s="2"/>
      <c r="AI14" s="2"/>
      <c r="AK14" s="8" t="str">
        <f t="shared" si="6"/>
        <v/>
      </c>
      <c r="AL14" s="2"/>
      <c r="AM14" s="2"/>
      <c r="AN14" s="2"/>
      <c r="AO14" s="2"/>
      <c r="AQ14" s="8">
        <f t="shared" si="7"/>
        <v>10</v>
      </c>
      <c r="AR14" s="2" t="s">
        <v>164</v>
      </c>
      <c r="AS14" s="2" t="s">
        <v>165</v>
      </c>
      <c r="AT14" s="2" t="s">
        <v>166</v>
      </c>
      <c r="AU14" s="2" t="s">
        <v>170</v>
      </c>
      <c r="AV14" s="2" t="s">
        <v>167</v>
      </c>
      <c r="AX14" s="8">
        <v>10</v>
      </c>
      <c r="AY14" s="8" t="s">
        <v>185</v>
      </c>
      <c r="AZ14" s="2" t="s">
        <v>181</v>
      </c>
      <c r="BA14" s="2" t="s">
        <v>254</v>
      </c>
      <c r="BB14" s="2" t="s">
        <v>182</v>
      </c>
      <c r="BC14" s="2" t="s">
        <v>215</v>
      </c>
      <c r="BD14" s="2" t="s">
        <v>217</v>
      </c>
      <c r="BE14" s="2" t="str">
        <f>IFERROR(VLOOKUP(BC14,'Master Data'!$BJ$5:$BM$100,4,FALSE),"")</f>
        <v>Gần khu công nghệ cao, đại học</v>
      </c>
      <c r="BF14" s="2" t="s">
        <v>279</v>
      </c>
      <c r="BG14" t="b">
        <f t="shared" si="8"/>
        <v>1</v>
      </c>
      <c r="BJ14" s="2" t="s">
        <v>337</v>
      </c>
      <c r="BK14" s="2" t="s">
        <v>182</v>
      </c>
      <c r="BL14" s="2" t="s">
        <v>201</v>
      </c>
      <c r="BM14" s="2" t="s">
        <v>338</v>
      </c>
      <c r="BN14" s="2" t="s">
        <v>339</v>
      </c>
      <c r="BO14" s="2" t="s">
        <v>340</v>
      </c>
    </row>
    <row r="15" spans="1:148" x14ac:dyDescent="0.35">
      <c r="A15" s="2"/>
      <c r="B15" s="2"/>
      <c r="D15" s="2"/>
      <c r="E15" s="2"/>
      <c r="F15" s="2"/>
      <c r="K15" s="8">
        <f t="shared" si="0"/>
        <v>11</v>
      </c>
      <c r="L15" s="2" t="s">
        <v>63</v>
      </c>
      <c r="M15" s="2" t="s">
        <v>52</v>
      </c>
      <c r="N15" s="2" t="s">
        <v>53</v>
      </c>
      <c r="P15" s="8" t="str">
        <f t="shared" si="1"/>
        <v/>
      </c>
      <c r="Q15" s="2"/>
      <c r="R15" s="2"/>
      <c r="S15" s="2"/>
      <c r="T15" s="2"/>
      <c r="V15" s="8">
        <f t="shared" si="2"/>
        <v>11</v>
      </c>
      <c r="W15" s="2" t="s">
        <v>78</v>
      </c>
      <c r="X15" s="2" t="s">
        <v>105</v>
      </c>
      <c r="Y15" s="2" t="s">
        <v>106</v>
      </c>
      <c r="Z15" s="2"/>
      <c r="AA15" s="2"/>
      <c r="AB15" s="2"/>
      <c r="AC15" s="8">
        <v>3.5</v>
      </c>
      <c r="AD15" s="8">
        <v>4.5</v>
      </c>
      <c r="AF15" s="8" t="str">
        <f t="shared" si="3"/>
        <v/>
      </c>
      <c r="AG15" s="2"/>
      <c r="AH15" s="2"/>
      <c r="AI15" s="2"/>
      <c r="AK15" s="8" t="str">
        <f t="shared" si="6"/>
        <v/>
      </c>
      <c r="AL15" s="2"/>
      <c r="AM15" s="2"/>
      <c r="AN15" s="2"/>
      <c r="AO15" s="2"/>
      <c r="AQ15" s="8">
        <f t="shared" si="7"/>
        <v>11</v>
      </c>
      <c r="AR15" s="2"/>
      <c r="AS15" s="2"/>
      <c r="AT15" s="2"/>
      <c r="AU15" s="2"/>
      <c r="AV15" s="2"/>
      <c r="AX15" s="8">
        <v>11</v>
      </c>
      <c r="AY15" s="8" t="s">
        <v>185</v>
      </c>
      <c r="AZ15" s="2" t="s">
        <v>181</v>
      </c>
      <c r="BA15" s="2" t="s">
        <v>254</v>
      </c>
      <c r="BB15" s="2" t="s">
        <v>182</v>
      </c>
      <c r="BC15" s="2" t="s">
        <v>204</v>
      </c>
      <c r="BD15" s="2" t="s">
        <v>206</v>
      </c>
      <c r="BE15" s="2" t="str">
        <f>IFERROR(VLOOKUP(BC15,'Master Data'!$BJ$5:$BM$100,4,FALSE),"")</f>
        <v>Đầy đủ tiện ích: trường, bệnh viện, TTTM</v>
      </c>
      <c r="BF15" s="2" t="s">
        <v>280</v>
      </c>
      <c r="BG15" t="b">
        <f t="shared" si="8"/>
        <v>1</v>
      </c>
      <c r="BJ15" s="2" t="s">
        <v>204</v>
      </c>
      <c r="BK15" s="2" t="s">
        <v>182</v>
      </c>
      <c r="BL15" s="2" t="s">
        <v>205</v>
      </c>
      <c r="BM15" s="2" t="s">
        <v>206</v>
      </c>
      <c r="BN15" s="2" t="s">
        <v>207</v>
      </c>
      <c r="BO15" s="2" t="s">
        <v>341</v>
      </c>
    </row>
    <row r="16" spans="1:148" x14ac:dyDescent="0.35">
      <c r="A16" s="2"/>
      <c r="B16" s="2"/>
      <c r="D16" s="2"/>
      <c r="E16" s="2"/>
      <c r="F16" s="2"/>
      <c r="K16" s="8">
        <f t="shared" si="0"/>
        <v>12</v>
      </c>
      <c r="L16" s="2" t="s">
        <v>64</v>
      </c>
      <c r="M16" s="2" t="s">
        <v>54</v>
      </c>
      <c r="N16" s="2" t="s">
        <v>55</v>
      </c>
      <c r="P16" s="8" t="str">
        <f t="shared" si="1"/>
        <v/>
      </c>
      <c r="Q16" s="2"/>
      <c r="R16" s="2"/>
      <c r="S16" s="2"/>
      <c r="T16" s="2"/>
      <c r="V16" s="8">
        <f t="shared" si="2"/>
        <v>12</v>
      </c>
      <c r="W16" s="2" t="s">
        <v>79</v>
      </c>
      <c r="X16" s="2" t="s">
        <v>107</v>
      </c>
      <c r="Y16" s="2" t="s">
        <v>108</v>
      </c>
      <c r="Z16" s="2"/>
      <c r="AA16" s="2"/>
      <c r="AB16" s="2"/>
      <c r="AC16" s="8">
        <v>3</v>
      </c>
      <c r="AD16" s="8">
        <v>3.5</v>
      </c>
      <c r="AF16" s="8" t="str">
        <f t="shared" si="3"/>
        <v/>
      </c>
      <c r="AG16" s="2"/>
      <c r="AH16" s="2"/>
      <c r="AI16" s="2"/>
      <c r="AK16" s="8" t="str">
        <f t="shared" si="6"/>
        <v/>
      </c>
      <c r="AL16" s="2"/>
      <c r="AM16" s="2"/>
      <c r="AN16" s="2"/>
      <c r="AO16" s="2"/>
      <c r="AQ16" s="16" t="str">
        <f t="shared" si="7"/>
        <v/>
      </c>
      <c r="AX16" s="8">
        <v>12</v>
      </c>
      <c r="AY16" s="8" t="s">
        <v>185</v>
      </c>
      <c r="AZ16" s="2" t="s">
        <v>181</v>
      </c>
      <c r="BA16" s="2" t="s">
        <v>254</v>
      </c>
      <c r="BB16" s="2" t="s">
        <v>183</v>
      </c>
      <c r="BC16" s="2" t="s">
        <v>229</v>
      </c>
      <c r="BD16" s="2" t="s">
        <v>231</v>
      </c>
      <c r="BE16" s="2" t="str">
        <f>IFERROR(VLOOKUP(BC16,'Master Data'!$BJ$5:$BM$100,4,FALSE),"")</f>
        <v>Hạ tầng cũ, đường nhỏ, dễ ngập</v>
      </c>
      <c r="BF16" s="2" t="s">
        <v>281</v>
      </c>
      <c r="BG16" t="b">
        <f t="shared" si="8"/>
        <v>1</v>
      </c>
      <c r="BJ16" s="2" t="s">
        <v>342</v>
      </c>
      <c r="BK16" s="2" t="s">
        <v>182</v>
      </c>
      <c r="BL16" s="2" t="s">
        <v>205</v>
      </c>
      <c r="BM16" s="2" t="s">
        <v>343</v>
      </c>
      <c r="BN16" s="2" t="s">
        <v>344</v>
      </c>
      <c r="BO16" s="2" t="s">
        <v>345</v>
      </c>
    </row>
    <row r="17" spans="1:67" x14ac:dyDescent="0.35">
      <c r="A17" s="2"/>
      <c r="B17" s="2"/>
      <c r="D17" s="2"/>
      <c r="E17" s="2"/>
      <c r="F17" s="2"/>
      <c r="K17" s="8">
        <f t="shared" si="0"/>
        <v>13</v>
      </c>
      <c r="L17" s="2" t="s">
        <v>64</v>
      </c>
      <c r="M17" s="2" t="s">
        <v>56</v>
      </c>
      <c r="N17" s="2" t="s">
        <v>57</v>
      </c>
      <c r="P17" s="8" t="str">
        <f t="shared" si="1"/>
        <v/>
      </c>
      <c r="Q17" s="2"/>
      <c r="R17" s="2"/>
      <c r="S17" s="2"/>
      <c r="T17" s="2"/>
      <c r="V17" s="8">
        <f t="shared" si="2"/>
        <v>13</v>
      </c>
      <c r="W17" s="2" t="s">
        <v>79</v>
      </c>
      <c r="X17" s="2" t="s">
        <v>109</v>
      </c>
      <c r="Y17" s="2" t="s">
        <v>110</v>
      </c>
      <c r="Z17" s="2"/>
      <c r="AA17" s="2"/>
      <c r="AB17" s="2"/>
      <c r="AC17" s="8">
        <v>1</v>
      </c>
      <c r="AD17" s="8">
        <v>1.5</v>
      </c>
      <c r="AF17" s="8" t="str">
        <f t="shared" si="3"/>
        <v/>
      </c>
      <c r="AG17" s="2"/>
      <c r="AH17" s="2"/>
      <c r="AI17" s="2"/>
      <c r="AK17" s="8" t="str">
        <f t="shared" si="6"/>
        <v/>
      </c>
      <c r="AL17" s="2"/>
      <c r="AM17" s="2"/>
      <c r="AN17" s="2"/>
      <c r="AO17" s="2"/>
      <c r="AQ17" s="16" t="str">
        <f t="shared" si="7"/>
        <v/>
      </c>
      <c r="AX17" s="8">
        <v>13</v>
      </c>
      <c r="AY17" s="8" t="s">
        <v>185</v>
      </c>
      <c r="AZ17" s="2" t="s">
        <v>255</v>
      </c>
      <c r="BA17" s="2" t="s">
        <v>256</v>
      </c>
      <c r="BB17" s="2" t="s">
        <v>182</v>
      </c>
      <c r="BC17" s="2" t="s">
        <v>190</v>
      </c>
      <c r="BD17" s="2" t="s">
        <v>191</v>
      </c>
      <c r="BE17" s="2" t="str">
        <f>IFERROR(VLOOKUP(BC17,'Master Data'!$BJ$5:$BM$100,4,FALSE),"")</f>
        <v>Gần trung tâm, di chuyển thuận tiện</v>
      </c>
      <c r="BF17" s="2" t="s">
        <v>257</v>
      </c>
      <c r="BG17" t="b">
        <f t="shared" si="8"/>
        <v>1</v>
      </c>
      <c r="BJ17" s="2" t="s">
        <v>208</v>
      </c>
      <c r="BK17" s="2" t="s">
        <v>182</v>
      </c>
      <c r="BL17" s="2" t="s">
        <v>44</v>
      </c>
      <c r="BM17" s="2" t="s">
        <v>209</v>
      </c>
      <c r="BN17" s="2" t="s">
        <v>210</v>
      </c>
      <c r="BO17" s="2" t="s">
        <v>346</v>
      </c>
    </row>
    <row r="18" spans="1:67" x14ac:dyDescent="0.35">
      <c r="A18" s="2"/>
      <c r="B18" s="2"/>
      <c r="D18" s="2"/>
      <c r="E18" s="2"/>
      <c r="F18" s="2"/>
      <c r="K18" s="8">
        <f t="shared" si="0"/>
        <v>14</v>
      </c>
      <c r="L18" s="2" t="s">
        <v>64</v>
      </c>
      <c r="M18" s="2" t="s">
        <v>58</v>
      </c>
      <c r="N18" s="2" t="s">
        <v>59</v>
      </c>
      <c r="P18" s="8" t="str">
        <f t="shared" si="1"/>
        <v/>
      </c>
      <c r="Q18" s="2"/>
      <c r="R18" s="2"/>
      <c r="S18" s="2"/>
      <c r="T18" s="2"/>
      <c r="V18" s="8">
        <f t="shared" si="2"/>
        <v>14</v>
      </c>
      <c r="W18" s="2" t="s">
        <v>79</v>
      </c>
      <c r="X18" s="2" t="s">
        <v>111</v>
      </c>
      <c r="Y18" s="2" t="s">
        <v>112</v>
      </c>
      <c r="Z18" s="2"/>
      <c r="AA18" s="2"/>
      <c r="AB18" s="2"/>
      <c r="AC18" s="8">
        <v>1</v>
      </c>
      <c r="AD18" s="8">
        <v>1.5</v>
      </c>
      <c r="AF18" s="8" t="str">
        <f t="shared" si="3"/>
        <v/>
      </c>
      <c r="AG18" s="2"/>
      <c r="AH18" s="2"/>
      <c r="AI18" s="2"/>
      <c r="AK18" s="8" t="str">
        <f t="shared" si="6"/>
        <v/>
      </c>
      <c r="AL18" s="2"/>
      <c r="AM18" s="2"/>
      <c r="AN18" s="2"/>
      <c r="AO18" s="2"/>
      <c r="AQ18" s="16" t="str">
        <f t="shared" si="7"/>
        <v/>
      </c>
      <c r="AX18" s="8">
        <v>14</v>
      </c>
      <c r="AY18" s="8" t="s">
        <v>185</v>
      </c>
      <c r="AZ18" s="2" t="s">
        <v>255</v>
      </c>
      <c r="BA18" s="2" t="s">
        <v>256</v>
      </c>
      <c r="BB18" s="2" t="s">
        <v>182</v>
      </c>
      <c r="BC18" s="2" t="s">
        <v>204</v>
      </c>
      <c r="BD18" s="2" t="s">
        <v>282</v>
      </c>
      <c r="BE18" s="2" t="str">
        <f>IFERROR(VLOOKUP(BC18,'Master Data'!$BJ$5:$BM$100,4,FALSE),"")</f>
        <v>Đầy đủ tiện ích: trường, bệnh viện, TTTM</v>
      </c>
      <c r="BF18" s="2" t="s">
        <v>283</v>
      </c>
      <c r="BG18" t="b">
        <f t="shared" si="8"/>
        <v>0</v>
      </c>
      <c r="BJ18" s="2" t="s">
        <v>347</v>
      </c>
      <c r="BK18" s="2" t="s">
        <v>182</v>
      </c>
      <c r="BL18" s="2" t="s">
        <v>44</v>
      </c>
      <c r="BM18" s="2" t="s">
        <v>348</v>
      </c>
      <c r="BN18" s="2" t="s">
        <v>334</v>
      </c>
      <c r="BO18" s="2" t="s">
        <v>349</v>
      </c>
    </row>
    <row r="19" spans="1:67" x14ac:dyDescent="0.35">
      <c r="A19" s="2"/>
      <c r="B19" s="2"/>
      <c r="D19" s="2"/>
      <c r="E19" s="2"/>
      <c r="F19" s="2"/>
      <c r="K19" s="2"/>
      <c r="L19" s="2"/>
      <c r="M19" s="2"/>
      <c r="N19" s="2"/>
      <c r="V19" s="8">
        <f t="shared" si="2"/>
        <v>15</v>
      </c>
      <c r="W19" s="2" t="s">
        <v>80</v>
      </c>
      <c r="X19" s="2" t="s">
        <v>113</v>
      </c>
      <c r="Y19" s="2" t="s">
        <v>114</v>
      </c>
      <c r="Z19" s="2"/>
      <c r="AA19" s="2"/>
      <c r="AB19" s="2"/>
      <c r="AC19" s="8">
        <v>1</v>
      </c>
      <c r="AD19" s="8">
        <v>1.2</v>
      </c>
      <c r="AF19" s="8" t="str">
        <f t="shared" si="3"/>
        <v/>
      </c>
      <c r="AG19" s="2"/>
      <c r="AH19" s="2"/>
      <c r="AI19" s="2"/>
      <c r="AK19" s="8" t="str">
        <f t="shared" si="6"/>
        <v/>
      </c>
      <c r="AL19" s="2"/>
      <c r="AM19" s="2"/>
      <c r="AN19" s="2"/>
      <c r="AO19" s="2"/>
      <c r="AQ19" s="16" t="str">
        <f t="shared" si="7"/>
        <v/>
      </c>
      <c r="AX19" s="8">
        <v>15</v>
      </c>
      <c r="AY19" s="8" t="s">
        <v>185</v>
      </c>
      <c r="AZ19" s="2" t="s">
        <v>255</v>
      </c>
      <c r="BA19" s="2" t="s">
        <v>256</v>
      </c>
      <c r="BB19" s="2" t="s">
        <v>182</v>
      </c>
      <c r="BC19" s="2" t="s">
        <v>219</v>
      </c>
      <c r="BD19" s="2" t="s">
        <v>221</v>
      </c>
      <c r="BE19" s="2" t="str">
        <f>IFERROR(VLOOKUP(BC19,'Master Data'!$BJ$5:$BM$100,4,FALSE),"")</f>
        <v>Cộng đồng dân cư văn minh, ổn định</v>
      </c>
      <c r="BF19" s="2" t="s">
        <v>284</v>
      </c>
      <c r="BG19" t="b">
        <f t="shared" si="8"/>
        <v>1</v>
      </c>
      <c r="BJ19" s="2" t="s">
        <v>211</v>
      </c>
      <c r="BK19" s="2" t="s">
        <v>182</v>
      </c>
      <c r="BL19" s="2" t="s">
        <v>212</v>
      </c>
      <c r="BM19" s="2" t="s">
        <v>213</v>
      </c>
      <c r="BN19" s="2" t="s">
        <v>214</v>
      </c>
      <c r="BO19" s="2" t="s">
        <v>350</v>
      </c>
    </row>
    <row r="20" spans="1:67" x14ac:dyDescent="0.35">
      <c r="A20" s="2"/>
      <c r="B20" s="2"/>
      <c r="D20" s="2"/>
      <c r="E20" s="2"/>
      <c r="F20" s="2"/>
      <c r="K20" s="2"/>
      <c r="L20" s="2"/>
      <c r="M20" s="2"/>
      <c r="N20" s="2"/>
      <c r="V20" s="8">
        <f t="shared" si="2"/>
        <v>16</v>
      </c>
      <c r="W20" s="2" t="s">
        <v>80</v>
      </c>
      <c r="X20" s="2" t="s">
        <v>115</v>
      </c>
      <c r="Y20" s="2" t="s">
        <v>114</v>
      </c>
      <c r="Z20" s="2"/>
      <c r="AA20" s="2"/>
      <c r="AB20" s="2"/>
      <c r="AC20" s="8">
        <v>0.8</v>
      </c>
      <c r="AD20" s="8">
        <v>1</v>
      </c>
      <c r="AF20" s="8" t="str">
        <f t="shared" si="3"/>
        <v/>
      </c>
      <c r="AG20" s="2"/>
      <c r="AH20" s="2"/>
      <c r="AI20" s="2"/>
      <c r="AK20" s="8" t="str">
        <f t="shared" si="6"/>
        <v/>
      </c>
      <c r="AL20" s="2"/>
      <c r="AM20" s="2"/>
      <c r="AN20" s="2"/>
      <c r="AO20" s="2"/>
      <c r="AQ20" s="16" t="str">
        <f t="shared" si="7"/>
        <v/>
      </c>
      <c r="AX20" s="8">
        <v>16</v>
      </c>
      <c r="AY20" s="8" t="s">
        <v>185</v>
      </c>
      <c r="AZ20" s="2" t="s">
        <v>255</v>
      </c>
      <c r="BA20" s="2" t="s">
        <v>256</v>
      </c>
      <c r="BB20" s="2" t="s">
        <v>183</v>
      </c>
      <c r="BC20" s="2" t="s">
        <v>232</v>
      </c>
      <c r="BD20" s="2" t="s">
        <v>233</v>
      </c>
      <c r="BE20" s="2" t="str">
        <f>IFERROR(VLOOKUP(BC20,'Master Data'!$BJ$5:$BM$100,4,FALSE),"")</f>
        <v>Giá cao, chi phí sinh hoạt đắt đỏ</v>
      </c>
      <c r="BF20" s="2" t="s">
        <v>285</v>
      </c>
      <c r="BG20" t="b">
        <f t="shared" si="8"/>
        <v>1</v>
      </c>
      <c r="BJ20" s="2" t="s">
        <v>351</v>
      </c>
      <c r="BK20" s="2" t="s">
        <v>182</v>
      </c>
      <c r="BL20" s="2" t="s">
        <v>212</v>
      </c>
      <c r="BM20" s="2" t="s">
        <v>352</v>
      </c>
      <c r="BN20" s="2" t="s">
        <v>353</v>
      </c>
      <c r="BO20" s="2" t="s">
        <v>354</v>
      </c>
    </row>
    <row r="21" spans="1:67" x14ac:dyDescent="0.35">
      <c r="K21" s="2"/>
      <c r="L21" s="2"/>
      <c r="M21" s="2"/>
      <c r="N21" s="2"/>
      <c r="V21" s="8">
        <f t="shared" si="2"/>
        <v>17</v>
      </c>
      <c r="W21" s="2" t="s">
        <v>80</v>
      </c>
      <c r="X21" s="2" t="s">
        <v>116</v>
      </c>
      <c r="Y21" s="2" t="s">
        <v>114</v>
      </c>
      <c r="Z21" s="2"/>
      <c r="AA21" s="2"/>
      <c r="AB21" s="2"/>
      <c r="AC21" s="8">
        <v>1.2</v>
      </c>
      <c r="AD21" s="8">
        <v>1.5</v>
      </c>
      <c r="AQ21" s="16" t="str">
        <f t="shared" si="7"/>
        <v/>
      </c>
      <c r="AX21" s="8">
        <v>17</v>
      </c>
      <c r="AY21" s="8" t="s">
        <v>185</v>
      </c>
      <c r="AZ21" s="2" t="s">
        <v>255</v>
      </c>
      <c r="BA21" s="2" t="s">
        <v>258</v>
      </c>
      <c r="BB21" s="2" t="s">
        <v>182</v>
      </c>
      <c r="BC21" s="2" t="s">
        <v>190</v>
      </c>
      <c r="BD21" s="2" t="s">
        <v>191</v>
      </c>
      <c r="BE21" s="2" t="str">
        <f>IFERROR(VLOOKUP(BC21,'Master Data'!$BJ$5:$BM$100,4,FALSE),"")</f>
        <v>Gần trung tâm, di chuyển thuận tiện</v>
      </c>
      <c r="BF21" s="2" t="s">
        <v>286</v>
      </c>
      <c r="BG21" t="b">
        <f t="shared" si="8"/>
        <v>1</v>
      </c>
      <c r="BJ21" s="2" t="s">
        <v>215</v>
      </c>
      <c r="BK21" s="2" t="s">
        <v>182</v>
      </c>
      <c r="BL21" s="2" t="s">
        <v>216</v>
      </c>
      <c r="BM21" s="2" t="s">
        <v>217</v>
      </c>
      <c r="BN21" s="2" t="s">
        <v>218</v>
      </c>
      <c r="BO21" s="2" t="s">
        <v>355</v>
      </c>
    </row>
    <row r="22" spans="1:67" x14ac:dyDescent="0.35">
      <c r="K22" s="2"/>
      <c r="L22" s="2"/>
      <c r="M22" s="2"/>
      <c r="N22" s="2"/>
      <c r="V22" s="8">
        <f t="shared" si="2"/>
        <v>18</v>
      </c>
      <c r="W22" s="2"/>
      <c r="X22" s="2"/>
      <c r="Y22" s="2"/>
      <c r="Z22" s="2"/>
      <c r="AA22" s="2"/>
      <c r="AB22" s="2"/>
      <c r="AC22" s="2"/>
      <c r="AD22" s="2"/>
      <c r="AQ22" s="16" t="str">
        <f t="shared" si="7"/>
        <v/>
      </c>
      <c r="AX22" s="8">
        <v>18</v>
      </c>
      <c r="AY22" s="8" t="s">
        <v>185</v>
      </c>
      <c r="AZ22" s="2" t="s">
        <v>255</v>
      </c>
      <c r="BA22" s="2" t="s">
        <v>258</v>
      </c>
      <c r="BB22" s="2" t="s">
        <v>182</v>
      </c>
      <c r="BC22" s="2" t="s">
        <v>219</v>
      </c>
      <c r="BD22" s="2" t="s">
        <v>221</v>
      </c>
      <c r="BE22" s="2" t="str">
        <f>IFERROR(VLOOKUP(BC22,'Master Data'!$BJ$5:$BM$100,4,FALSE),"")</f>
        <v>Cộng đồng dân cư văn minh, ổn định</v>
      </c>
      <c r="BF22" s="2" t="s">
        <v>287</v>
      </c>
      <c r="BG22" t="b">
        <f t="shared" si="8"/>
        <v>1</v>
      </c>
      <c r="BJ22" s="2" t="s">
        <v>219</v>
      </c>
      <c r="BK22" s="2" t="s">
        <v>182</v>
      </c>
      <c r="BL22" s="2" t="s">
        <v>220</v>
      </c>
      <c r="BM22" s="2" t="s">
        <v>221</v>
      </c>
      <c r="BN22" s="2" t="s">
        <v>222</v>
      </c>
      <c r="BO22" s="2" t="s">
        <v>356</v>
      </c>
    </row>
    <row r="23" spans="1:67" x14ac:dyDescent="0.35">
      <c r="K23" s="2"/>
      <c r="L23" s="2"/>
      <c r="M23" s="2"/>
      <c r="N23" s="2"/>
      <c r="V23" s="8" t="str">
        <f t="shared" si="2"/>
        <v/>
      </c>
      <c r="W23" s="2"/>
      <c r="X23" s="2"/>
      <c r="Y23" s="2"/>
      <c r="Z23" s="2"/>
      <c r="AA23" s="2"/>
      <c r="AB23" s="2"/>
      <c r="AC23" s="2"/>
      <c r="AD23" s="2"/>
      <c r="AQ23" s="16" t="str">
        <f t="shared" si="7"/>
        <v/>
      </c>
      <c r="AX23" s="8">
        <v>19</v>
      </c>
      <c r="AY23" s="8" t="s">
        <v>185</v>
      </c>
      <c r="AZ23" s="2" t="s">
        <v>255</v>
      </c>
      <c r="BA23" s="2" t="s">
        <v>258</v>
      </c>
      <c r="BB23" s="2" t="s">
        <v>183</v>
      </c>
      <c r="BC23" s="2" t="s">
        <v>229</v>
      </c>
      <c r="BD23" s="2" t="s">
        <v>231</v>
      </c>
      <c r="BE23" s="2" t="str">
        <f>IFERROR(VLOOKUP(BC23,'Master Data'!$BJ$5:$BM$100,4,FALSE),"")</f>
        <v>Hạ tầng cũ, đường nhỏ, dễ ngập</v>
      </c>
      <c r="BF23" s="2" t="s">
        <v>259</v>
      </c>
      <c r="BG23" t="b">
        <f t="shared" si="8"/>
        <v>1</v>
      </c>
      <c r="BJ23" s="2" t="s">
        <v>223</v>
      </c>
      <c r="BK23" s="2" t="s">
        <v>182</v>
      </c>
      <c r="BL23" s="2" t="s">
        <v>224</v>
      </c>
      <c r="BM23" s="2" t="s">
        <v>225</v>
      </c>
      <c r="BN23" s="2" t="s">
        <v>226</v>
      </c>
      <c r="BO23" s="2" t="s">
        <v>270</v>
      </c>
    </row>
    <row r="24" spans="1:67" x14ac:dyDescent="0.35">
      <c r="K24" s="2"/>
      <c r="L24" s="2"/>
      <c r="M24" s="2"/>
      <c r="N24" s="2"/>
      <c r="V24" s="8" t="str">
        <f t="shared" si="2"/>
        <v/>
      </c>
      <c r="W24" s="2"/>
      <c r="X24" s="2"/>
      <c r="Y24" s="2"/>
      <c r="Z24" s="2"/>
      <c r="AA24" s="2"/>
      <c r="AB24" s="2"/>
      <c r="AC24" s="2"/>
      <c r="AD24" s="2"/>
      <c r="AQ24" s="16" t="str">
        <f t="shared" si="7"/>
        <v/>
      </c>
      <c r="AX24" s="8">
        <v>20</v>
      </c>
      <c r="AY24" s="8" t="s">
        <v>185</v>
      </c>
      <c r="AZ24" s="2" t="s">
        <v>260</v>
      </c>
      <c r="BA24" s="2" t="s">
        <v>261</v>
      </c>
      <c r="BB24" s="2" t="s">
        <v>182</v>
      </c>
      <c r="BC24" s="2" t="s">
        <v>190</v>
      </c>
      <c r="BD24" s="2" t="s">
        <v>191</v>
      </c>
      <c r="BE24" s="2" t="str">
        <f>IFERROR(VLOOKUP(BC24,'Master Data'!$BJ$5:$BM$100,4,FALSE),"")</f>
        <v>Gần trung tâm, di chuyển thuận tiện</v>
      </c>
      <c r="BF24" s="2" t="s">
        <v>288</v>
      </c>
      <c r="BG24" t="b">
        <f t="shared" si="8"/>
        <v>1</v>
      </c>
      <c r="BJ24" s="2" t="s">
        <v>227</v>
      </c>
      <c r="BK24" s="2" t="s">
        <v>183</v>
      </c>
      <c r="BL24" s="2" t="s">
        <v>34</v>
      </c>
      <c r="BM24" s="2" t="s">
        <v>228</v>
      </c>
      <c r="BN24" s="2" t="s">
        <v>357</v>
      </c>
      <c r="BO24" s="2" t="s">
        <v>358</v>
      </c>
    </row>
    <row r="25" spans="1:67" x14ac:dyDescent="0.35">
      <c r="K25" s="2"/>
      <c r="L25" s="2"/>
      <c r="M25" s="2"/>
      <c r="N25" s="2"/>
      <c r="V25" s="8" t="str">
        <f t="shared" si="2"/>
        <v/>
      </c>
      <c r="W25" s="2"/>
      <c r="X25" s="2"/>
      <c r="Y25" s="2"/>
      <c r="Z25" s="2"/>
      <c r="AA25" s="2"/>
      <c r="AB25" s="2"/>
      <c r="AC25" s="2"/>
      <c r="AD25" s="2"/>
      <c r="AQ25" s="16" t="str">
        <f t="shared" si="7"/>
        <v/>
      </c>
      <c r="AX25" s="8">
        <v>21</v>
      </c>
      <c r="AY25" s="8" t="s">
        <v>185</v>
      </c>
      <c r="AZ25" s="2" t="s">
        <v>260</v>
      </c>
      <c r="BA25" s="2" t="s">
        <v>261</v>
      </c>
      <c r="BB25" s="2" t="s">
        <v>182</v>
      </c>
      <c r="BC25" s="2" t="s">
        <v>211</v>
      </c>
      <c r="BD25" s="2" t="s">
        <v>213</v>
      </c>
      <c r="BE25" s="2" t="str">
        <f>IFERROR(VLOOKUP(BC25,'Master Data'!$BJ$5:$BM$100,4,FALSE),"")</f>
        <v>Giá còn mềm so với trung tâm</v>
      </c>
      <c r="BF25" s="2" t="s">
        <v>289</v>
      </c>
      <c r="BG25" t="b">
        <f t="shared" si="8"/>
        <v>1</v>
      </c>
      <c r="BJ25" s="2" t="s">
        <v>359</v>
      </c>
      <c r="BK25" s="2" t="s">
        <v>183</v>
      </c>
      <c r="BL25" s="2" t="s">
        <v>34</v>
      </c>
      <c r="BM25" s="2" t="s">
        <v>360</v>
      </c>
      <c r="BN25" s="2" t="s">
        <v>357</v>
      </c>
      <c r="BO25" s="2" t="s">
        <v>361</v>
      </c>
    </row>
    <row r="26" spans="1:67" x14ac:dyDescent="0.35">
      <c r="K26" s="2"/>
      <c r="L26" s="2"/>
      <c r="M26" s="2"/>
      <c r="N26" s="2"/>
      <c r="V26" s="8" t="str">
        <f t="shared" si="2"/>
        <v/>
      </c>
      <c r="W26" s="2"/>
      <c r="X26" s="2"/>
      <c r="Y26" s="2"/>
      <c r="Z26" s="2"/>
      <c r="AA26" s="2"/>
      <c r="AB26" s="2"/>
      <c r="AC26" s="2"/>
      <c r="AD26" s="2"/>
      <c r="AQ26" s="16" t="str">
        <f t="shared" si="7"/>
        <v/>
      </c>
      <c r="AX26" s="8">
        <v>22</v>
      </c>
      <c r="AY26" s="8" t="s">
        <v>185</v>
      </c>
      <c r="AZ26" s="2" t="s">
        <v>260</v>
      </c>
      <c r="BA26" s="2" t="s">
        <v>261</v>
      </c>
      <c r="BB26" s="2" t="s">
        <v>183</v>
      </c>
      <c r="BC26" s="2" t="s">
        <v>229</v>
      </c>
      <c r="BD26" s="2" t="s">
        <v>231</v>
      </c>
      <c r="BE26" s="2" t="str">
        <f>IFERROR(VLOOKUP(BC26,'Master Data'!$BJ$5:$BM$100,4,FALSE),"")</f>
        <v>Hạ tầng cũ, đường nhỏ, dễ ngập</v>
      </c>
      <c r="BF26" s="2" t="s">
        <v>290</v>
      </c>
      <c r="BG26" t="b">
        <f t="shared" si="8"/>
        <v>1</v>
      </c>
      <c r="BJ26" s="2" t="s">
        <v>229</v>
      </c>
      <c r="BK26" s="2" t="s">
        <v>183</v>
      </c>
      <c r="BL26" s="2" t="s">
        <v>230</v>
      </c>
      <c r="BM26" s="2" t="s">
        <v>231</v>
      </c>
      <c r="BN26" s="2" t="s">
        <v>357</v>
      </c>
      <c r="BO26" s="2" t="s">
        <v>362</v>
      </c>
    </row>
    <row r="27" spans="1:67" x14ac:dyDescent="0.35">
      <c r="K27" s="2"/>
      <c r="L27" s="2"/>
      <c r="M27" s="2"/>
      <c r="N27" s="2"/>
      <c r="V27" s="8" t="str">
        <f t="shared" si="2"/>
        <v/>
      </c>
      <c r="W27" s="2"/>
      <c r="X27" s="2"/>
      <c r="Y27" s="2"/>
      <c r="Z27" s="2"/>
      <c r="AA27" s="2"/>
      <c r="AB27" s="2"/>
      <c r="AC27" s="2"/>
      <c r="AD27" s="2"/>
      <c r="AQ27" s="16" t="str">
        <f t="shared" si="7"/>
        <v/>
      </c>
      <c r="AX27" s="8">
        <v>23</v>
      </c>
      <c r="AY27" s="8" t="s">
        <v>185</v>
      </c>
      <c r="AZ27" s="2" t="s">
        <v>260</v>
      </c>
      <c r="BA27" s="2" t="s">
        <v>262</v>
      </c>
      <c r="BB27" s="2" t="s">
        <v>182</v>
      </c>
      <c r="BC27" s="2" t="s">
        <v>219</v>
      </c>
      <c r="BD27" s="2" t="s">
        <v>221</v>
      </c>
      <c r="BE27" s="2" t="str">
        <f>IFERROR(VLOOKUP(BC27,'Master Data'!$BJ$5:$BM$100,4,FALSE),"")</f>
        <v>Cộng đồng dân cư văn minh, ổn định</v>
      </c>
      <c r="BF27" s="2" t="s">
        <v>291</v>
      </c>
      <c r="BG27" t="b">
        <f t="shared" si="8"/>
        <v>1</v>
      </c>
      <c r="BJ27" s="2" t="s">
        <v>363</v>
      </c>
      <c r="BK27" s="2" t="s">
        <v>183</v>
      </c>
      <c r="BL27" s="2" t="s">
        <v>230</v>
      </c>
      <c r="BM27" s="2" t="s">
        <v>364</v>
      </c>
      <c r="BN27" s="2" t="s">
        <v>357</v>
      </c>
      <c r="BO27" s="2" t="s">
        <v>365</v>
      </c>
    </row>
    <row r="28" spans="1:67" x14ac:dyDescent="0.35">
      <c r="K28" s="2"/>
      <c r="L28" s="2"/>
      <c r="M28" s="2"/>
      <c r="N28" s="2"/>
      <c r="V28" s="8" t="str">
        <f t="shared" si="2"/>
        <v/>
      </c>
      <c r="W28" s="2"/>
      <c r="X28" s="2"/>
      <c r="Y28" s="2"/>
      <c r="Z28" s="2"/>
      <c r="AA28" s="2"/>
      <c r="AB28" s="2"/>
      <c r="AC28" s="2"/>
      <c r="AD28" s="2"/>
      <c r="AQ28" s="16" t="str">
        <f t="shared" si="7"/>
        <v/>
      </c>
      <c r="AX28" s="8">
        <v>24</v>
      </c>
      <c r="AY28" s="8" t="s">
        <v>185</v>
      </c>
      <c r="AZ28" s="2" t="s">
        <v>260</v>
      </c>
      <c r="BA28" s="2" t="s">
        <v>262</v>
      </c>
      <c r="BB28" s="2" t="s">
        <v>182</v>
      </c>
      <c r="BC28" s="2" t="s">
        <v>204</v>
      </c>
      <c r="BD28" s="2" t="s">
        <v>292</v>
      </c>
      <c r="BE28" s="2" t="str">
        <f>IFERROR(VLOOKUP(BC28,'Master Data'!$BJ$5:$BM$100,4,FALSE),"")</f>
        <v>Đầy đủ tiện ích: trường, bệnh viện, TTTM</v>
      </c>
      <c r="BF28" s="2" t="s">
        <v>293</v>
      </c>
      <c r="BG28" t="b">
        <f t="shared" si="8"/>
        <v>0</v>
      </c>
      <c r="BJ28" s="2" t="s">
        <v>232</v>
      </c>
      <c r="BK28" s="2" t="s">
        <v>183</v>
      </c>
      <c r="BL28" s="2" t="s">
        <v>212</v>
      </c>
      <c r="BM28" s="2" t="s">
        <v>233</v>
      </c>
      <c r="BN28" s="2" t="s">
        <v>357</v>
      </c>
      <c r="BO28" s="2" t="s">
        <v>366</v>
      </c>
    </row>
    <row r="29" spans="1:67" x14ac:dyDescent="0.35">
      <c r="K29" s="2"/>
      <c r="L29" s="2"/>
      <c r="M29" s="2"/>
      <c r="N29" s="2"/>
      <c r="V29" s="8" t="str">
        <f t="shared" si="2"/>
        <v/>
      </c>
      <c r="W29" s="2"/>
      <c r="X29" s="2"/>
      <c r="Y29" s="2"/>
      <c r="Z29" s="2"/>
      <c r="AA29" s="2"/>
      <c r="AB29" s="2"/>
      <c r="AC29" s="2"/>
      <c r="AD29" s="2"/>
      <c r="AQ29" s="16" t="str">
        <f t="shared" si="7"/>
        <v/>
      </c>
      <c r="AX29" s="8">
        <v>25</v>
      </c>
      <c r="AY29" s="8" t="s">
        <v>185</v>
      </c>
      <c r="AZ29" s="2" t="s">
        <v>260</v>
      </c>
      <c r="BA29" s="2" t="s">
        <v>262</v>
      </c>
      <c r="BB29" s="2" t="s">
        <v>183</v>
      </c>
      <c r="BC29" s="2" t="s">
        <v>238</v>
      </c>
      <c r="BD29" s="2" t="s">
        <v>240</v>
      </c>
      <c r="BE29" s="2" t="str">
        <f>IFERROR(VLOOKUP(BC29,'Master Data'!$BJ$5:$BM$100,4,FALSE),"")</f>
        <v>Ít dự án mới, nhà cũ</v>
      </c>
      <c r="BF29" s="2" t="s">
        <v>294</v>
      </c>
      <c r="BG29" t="b">
        <f t="shared" si="8"/>
        <v>1</v>
      </c>
      <c r="BJ29" s="2" t="s">
        <v>234</v>
      </c>
      <c r="BK29" s="2" t="s">
        <v>183</v>
      </c>
      <c r="BL29" s="2" t="s">
        <v>205</v>
      </c>
      <c r="BM29" s="2" t="s">
        <v>235</v>
      </c>
      <c r="BN29" s="2" t="s">
        <v>357</v>
      </c>
      <c r="BO29" s="2" t="s">
        <v>367</v>
      </c>
    </row>
    <row r="30" spans="1:67" x14ac:dyDescent="0.35">
      <c r="K30" s="2"/>
      <c r="L30" s="2"/>
      <c r="M30" s="2"/>
      <c r="N30" s="2"/>
      <c r="V30" s="8" t="str">
        <f t="shared" si="2"/>
        <v/>
      </c>
      <c r="W30" s="2"/>
      <c r="X30" s="2"/>
      <c r="Y30" s="2"/>
      <c r="Z30" s="2"/>
      <c r="AA30" s="2"/>
      <c r="AB30" s="2"/>
      <c r="AC30" s="2"/>
      <c r="AD30" s="2"/>
      <c r="AQ30" s="16" t="str">
        <f t="shared" si="7"/>
        <v/>
      </c>
      <c r="AX30" s="8">
        <v>26</v>
      </c>
      <c r="AY30" s="8" t="s">
        <v>185</v>
      </c>
      <c r="AZ30" s="2" t="s">
        <v>260</v>
      </c>
      <c r="BA30" s="2" t="s">
        <v>263</v>
      </c>
      <c r="BB30" s="2" t="s">
        <v>182</v>
      </c>
      <c r="BC30" s="2" t="s">
        <v>190</v>
      </c>
      <c r="BD30" s="2" t="s">
        <v>191</v>
      </c>
      <c r="BE30" s="2" t="str">
        <f>IFERROR(VLOOKUP(BC30,'Master Data'!$BJ$5:$BM$100,4,FALSE),"")</f>
        <v>Gần trung tâm, di chuyển thuận tiện</v>
      </c>
      <c r="BF30" s="2" t="s">
        <v>295</v>
      </c>
      <c r="BG30" t="b">
        <f t="shared" si="8"/>
        <v>1</v>
      </c>
      <c r="BJ30" s="2" t="s">
        <v>236</v>
      </c>
      <c r="BK30" s="2" t="s">
        <v>183</v>
      </c>
      <c r="BL30" s="2" t="s">
        <v>63</v>
      </c>
      <c r="BM30" s="2" t="s">
        <v>237</v>
      </c>
      <c r="BN30" s="2" t="s">
        <v>357</v>
      </c>
      <c r="BO30" s="2" t="s">
        <v>368</v>
      </c>
    </row>
    <row r="31" spans="1:67" x14ac:dyDescent="0.35">
      <c r="AX31" s="2">
        <v>27</v>
      </c>
      <c r="AY31" s="2" t="s">
        <v>185</v>
      </c>
      <c r="AZ31" s="2" t="s">
        <v>260</v>
      </c>
      <c r="BA31" s="2" t="s">
        <v>263</v>
      </c>
      <c r="BB31" s="2" t="s">
        <v>182</v>
      </c>
      <c r="BC31" s="2" t="s">
        <v>208</v>
      </c>
      <c r="BD31" s="2" t="s">
        <v>209</v>
      </c>
      <c r="BE31" s="2" t="str">
        <f>IFERROR(VLOOKUP(BC31,'Master Data'!$BJ$5:$BM$100,4,FALSE),"")</f>
        <v>Khu vực an ninh, dân trí cao</v>
      </c>
      <c r="BF31" s="2" t="s">
        <v>296</v>
      </c>
      <c r="BG31" t="b">
        <f t="shared" si="8"/>
        <v>1</v>
      </c>
      <c r="BJ31" s="2" t="s">
        <v>369</v>
      </c>
      <c r="BK31" s="2" t="s">
        <v>183</v>
      </c>
      <c r="BL31" s="2" t="s">
        <v>63</v>
      </c>
      <c r="BM31" s="2" t="s">
        <v>370</v>
      </c>
      <c r="BN31" s="2" t="s">
        <v>357</v>
      </c>
      <c r="BO31" s="2" t="s">
        <v>371</v>
      </c>
    </row>
    <row r="32" spans="1:67" x14ac:dyDescent="0.35">
      <c r="AX32" s="2">
        <v>28</v>
      </c>
      <c r="AY32" s="2" t="s">
        <v>185</v>
      </c>
      <c r="AZ32" s="2" t="s">
        <v>260</v>
      </c>
      <c r="BA32" s="2" t="s">
        <v>263</v>
      </c>
      <c r="BB32" s="2" t="s">
        <v>183</v>
      </c>
      <c r="BC32" s="2" t="s">
        <v>232</v>
      </c>
      <c r="BD32" s="2" t="s">
        <v>233</v>
      </c>
      <c r="BE32" s="2" t="str">
        <f>IFERROR(VLOOKUP(BC32,'Master Data'!$BJ$5:$BM$100,4,FALSE),"")</f>
        <v>Giá cao, chi phí sinh hoạt đắt đỏ</v>
      </c>
      <c r="BF32" s="2" t="s">
        <v>297</v>
      </c>
      <c r="BG32" t="b">
        <f t="shared" si="8"/>
        <v>1</v>
      </c>
      <c r="BJ32" s="2" t="s">
        <v>238</v>
      </c>
      <c r="BK32" s="2" t="s">
        <v>183</v>
      </c>
      <c r="BL32" s="2" t="s">
        <v>239</v>
      </c>
      <c r="BM32" s="2" t="s">
        <v>240</v>
      </c>
      <c r="BN32" s="2" t="s">
        <v>357</v>
      </c>
      <c r="BO32" s="2" t="s">
        <v>372</v>
      </c>
    </row>
    <row r="33" spans="50:67" x14ac:dyDescent="0.35">
      <c r="AX33" s="2">
        <v>29</v>
      </c>
      <c r="AY33" s="2" t="s">
        <v>185</v>
      </c>
      <c r="AZ33" s="2" t="s">
        <v>184</v>
      </c>
      <c r="BA33" s="2" t="s">
        <v>264</v>
      </c>
      <c r="BB33" s="2" t="s">
        <v>182</v>
      </c>
      <c r="BC33" s="2" t="s">
        <v>193</v>
      </c>
      <c r="BD33" s="2" t="s">
        <v>298</v>
      </c>
      <c r="BE33" s="2" t="str">
        <f>IFERROR(VLOOKUP(BC33,'Master Data'!$BJ$5:$BM$100,4,FALSE),"")</f>
        <v>Khu vực quy hoạch mới, hiện đại</v>
      </c>
      <c r="BF33" s="2" t="s">
        <v>299</v>
      </c>
      <c r="BG33" t="b">
        <f t="shared" si="8"/>
        <v>0</v>
      </c>
      <c r="BJ33" s="2" t="s">
        <v>241</v>
      </c>
      <c r="BK33" s="2" t="s">
        <v>183</v>
      </c>
      <c r="BL33" s="2" t="s">
        <v>60</v>
      </c>
      <c r="BM33" s="2" t="s">
        <v>242</v>
      </c>
      <c r="BN33" s="2" t="s">
        <v>357</v>
      </c>
      <c r="BO33" s="2" t="s">
        <v>373</v>
      </c>
    </row>
    <row r="34" spans="50:67" x14ac:dyDescent="0.35">
      <c r="AX34" s="2">
        <v>30</v>
      </c>
      <c r="AY34" s="2" t="s">
        <v>185</v>
      </c>
      <c r="AZ34" s="2" t="s">
        <v>184</v>
      </c>
      <c r="BA34" s="2" t="s">
        <v>264</v>
      </c>
      <c r="BB34" s="2" t="s">
        <v>182</v>
      </c>
      <c r="BC34" s="2" t="s">
        <v>204</v>
      </c>
      <c r="BD34" s="2" t="s">
        <v>206</v>
      </c>
      <c r="BE34" s="2" t="str">
        <f>IFERROR(VLOOKUP(BC34,'Master Data'!$BJ$5:$BM$100,4,FALSE),"")</f>
        <v>Đầy đủ tiện ích: trường, bệnh viện, TTTM</v>
      </c>
      <c r="BF34" s="2" t="s">
        <v>300</v>
      </c>
      <c r="BG34" t="b">
        <f t="shared" si="8"/>
        <v>1</v>
      </c>
      <c r="BJ34" s="2" t="s">
        <v>271</v>
      </c>
      <c r="BK34" s="2" t="s">
        <v>183</v>
      </c>
      <c r="BL34" s="2" t="s">
        <v>60</v>
      </c>
      <c r="BM34" s="2" t="s">
        <v>272</v>
      </c>
      <c r="BN34" s="2" t="s">
        <v>357</v>
      </c>
      <c r="BO34" s="2" t="s">
        <v>374</v>
      </c>
    </row>
    <row r="35" spans="50:67" x14ac:dyDescent="0.35">
      <c r="AX35" s="2">
        <v>31</v>
      </c>
      <c r="AY35" s="2" t="s">
        <v>185</v>
      </c>
      <c r="AZ35" s="2" t="s">
        <v>184</v>
      </c>
      <c r="BA35" s="2" t="s">
        <v>264</v>
      </c>
      <c r="BB35" s="2" t="s">
        <v>182</v>
      </c>
      <c r="BC35" s="2" t="s">
        <v>223</v>
      </c>
      <c r="BD35" s="2" t="s">
        <v>301</v>
      </c>
      <c r="BE35" s="2" t="str">
        <f>IFERROR(VLOOKUP(BC35,'Master Data'!$BJ$5:$BM$100,4,FALSE),"")</f>
        <v>Có trường quốc tế, bệnh viện quốc tế</v>
      </c>
      <c r="BF35" s="2" t="s">
        <v>302</v>
      </c>
      <c r="BG35" t="b">
        <f t="shared" si="8"/>
        <v>0</v>
      </c>
      <c r="BJ35" s="2" t="s">
        <v>243</v>
      </c>
      <c r="BK35" s="2" t="s">
        <v>183</v>
      </c>
      <c r="BL35" s="2" t="s">
        <v>244</v>
      </c>
      <c r="BM35" s="2" t="s">
        <v>245</v>
      </c>
      <c r="BN35" s="2" t="s">
        <v>357</v>
      </c>
      <c r="BO35" s="2" t="s">
        <v>375</v>
      </c>
    </row>
    <row r="36" spans="50:67" x14ac:dyDescent="0.35">
      <c r="AX36" s="2">
        <v>32</v>
      </c>
      <c r="AY36" s="2" t="s">
        <v>185</v>
      </c>
      <c r="AZ36" s="2" t="s">
        <v>184</v>
      </c>
      <c r="BA36" s="2" t="s">
        <v>264</v>
      </c>
      <c r="BB36" s="2" t="s">
        <v>183</v>
      </c>
      <c r="BC36" s="2" t="s">
        <v>271</v>
      </c>
      <c r="BD36" s="2" t="s">
        <v>272</v>
      </c>
      <c r="BE36" s="2" t="str">
        <f>IFERROR(VLOOKUP(BC36,'Master Data'!$BJ$5:$BM$100,4,FALSE),"")</f>
        <v>Kết nối phụ thuộc cầu/đường độc đạo</v>
      </c>
      <c r="BF36" s="2" t="s">
        <v>303</v>
      </c>
      <c r="BG36" t="b">
        <f t="shared" si="8"/>
        <v>1</v>
      </c>
    </row>
    <row r="37" spans="50:67" x14ac:dyDescent="0.35">
      <c r="AX37" s="2">
        <v>33</v>
      </c>
      <c r="AY37" s="2" t="s">
        <v>185</v>
      </c>
      <c r="AZ37" s="2" t="s">
        <v>265</v>
      </c>
      <c r="BA37" s="2" t="s">
        <v>266</v>
      </c>
      <c r="BB37" s="2" t="s">
        <v>182</v>
      </c>
      <c r="BC37" s="2" t="s">
        <v>211</v>
      </c>
      <c r="BD37" s="2" t="s">
        <v>213</v>
      </c>
      <c r="BE37" s="2" t="str">
        <f>IFERROR(VLOOKUP(BC37,'Master Data'!$BJ$5:$BM$100,4,FALSE),"")</f>
        <v>Giá còn mềm so với trung tâm</v>
      </c>
      <c r="BF37" s="2" t="s">
        <v>304</v>
      </c>
      <c r="BG37" t="b">
        <f t="shared" si="8"/>
        <v>1</v>
      </c>
    </row>
    <row r="38" spans="50:67" x14ac:dyDescent="0.35">
      <c r="AX38" s="2">
        <v>34</v>
      </c>
      <c r="AY38" s="2" t="s">
        <v>185</v>
      </c>
      <c r="AZ38" s="2" t="s">
        <v>265</v>
      </c>
      <c r="BA38" s="2" t="s">
        <v>266</v>
      </c>
      <c r="BB38" s="2" t="s">
        <v>182</v>
      </c>
      <c r="BC38" s="2" t="s">
        <v>193</v>
      </c>
      <c r="BD38" s="2" t="s">
        <v>305</v>
      </c>
      <c r="BE38" s="2" t="str">
        <f>IFERROR(VLOOKUP(BC38,'Master Data'!$BJ$5:$BM$100,4,FALSE),"")</f>
        <v>Khu vực quy hoạch mới, hiện đại</v>
      </c>
      <c r="BF38" s="2" t="s">
        <v>306</v>
      </c>
      <c r="BG38" t="b">
        <f t="shared" si="8"/>
        <v>0</v>
      </c>
    </row>
    <row r="39" spans="50:67" x14ac:dyDescent="0.35">
      <c r="AX39" s="2">
        <v>35</v>
      </c>
      <c r="AY39" s="2" t="s">
        <v>185</v>
      </c>
      <c r="AZ39" s="2" t="s">
        <v>265</v>
      </c>
      <c r="BA39" s="2" t="s">
        <v>266</v>
      </c>
      <c r="BB39" s="2" t="s">
        <v>183</v>
      </c>
      <c r="BC39" s="2" t="s">
        <v>241</v>
      </c>
      <c r="BD39" s="2" t="s">
        <v>242</v>
      </c>
      <c r="BE39" s="2" t="str">
        <f>IFERROR(VLOOKUP(BC39,'Master Data'!$BJ$5:$BM$100,4,FALSE),"")</f>
        <v>Xa trung tâm, di chuyển 30–60 phút</v>
      </c>
      <c r="BF39" s="2" t="s">
        <v>307</v>
      </c>
      <c r="BG39" t="b">
        <f t="shared" si="8"/>
        <v>1</v>
      </c>
    </row>
    <row r="40" spans="50:67" x14ac:dyDescent="0.35">
      <c r="AX40" s="2">
        <v>36</v>
      </c>
      <c r="AY40" s="2" t="s">
        <v>185</v>
      </c>
      <c r="AZ40" s="2" t="s">
        <v>265</v>
      </c>
      <c r="BA40" s="2" t="s">
        <v>266</v>
      </c>
      <c r="BB40" s="2" t="s">
        <v>183</v>
      </c>
      <c r="BC40" s="2" t="s">
        <v>229</v>
      </c>
      <c r="BD40" s="2" t="s">
        <v>308</v>
      </c>
      <c r="BE40" s="2" t="str">
        <f>IFERROR(VLOOKUP(BC40,'Master Data'!$BJ$5:$BM$100,4,FALSE),"")</f>
        <v>Hạ tầng cũ, đường nhỏ, dễ ngập</v>
      </c>
      <c r="BF40" s="2" t="s">
        <v>309</v>
      </c>
      <c r="BG40" t="b">
        <f t="shared" si="8"/>
        <v>0</v>
      </c>
    </row>
    <row r="41" spans="50:67" x14ac:dyDescent="0.35">
      <c r="AX41" s="2">
        <v>37</v>
      </c>
      <c r="AY41" s="2" t="s">
        <v>185</v>
      </c>
      <c r="AZ41" s="2" t="s">
        <v>265</v>
      </c>
      <c r="BA41" s="2" t="s">
        <v>267</v>
      </c>
      <c r="BB41" s="2" t="s">
        <v>182</v>
      </c>
      <c r="BC41" s="2" t="s">
        <v>211</v>
      </c>
      <c r="BD41" s="2" t="s">
        <v>213</v>
      </c>
      <c r="BE41" s="2" t="str">
        <f>IFERROR(VLOOKUP(BC41,'Master Data'!$BJ$5:$BM$100,4,FALSE),"")</f>
        <v>Giá còn mềm so với trung tâm</v>
      </c>
      <c r="BF41" s="2" t="s">
        <v>310</v>
      </c>
      <c r="BG41" t="b">
        <f t="shared" si="8"/>
        <v>1</v>
      </c>
    </row>
    <row r="42" spans="50:67" x14ac:dyDescent="0.35">
      <c r="AX42" s="2">
        <v>38</v>
      </c>
      <c r="AY42" s="2" t="s">
        <v>185</v>
      </c>
      <c r="AZ42" s="2" t="s">
        <v>265</v>
      </c>
      <c r="BA42" s="2" t="s">
        <v>267</v>
      </c>
      <c r="BB42" s="2" t="s">
        <v>183</v>
      </c>
      <c r="BC42" s="2" t="s">
        <v>229</v>
      </c>
      <c r="BD42" s="2" t="s">
        <v>231</v>
      </c>
      <c r="BE42" s="2" t="str">
        <f>IFERROR(VLOOKUP(BC42,'Master Data'!$BJ$5:$BM$100,4,FALSE),"")</f>
        <v>Hạ tầng cũ, đường nhỏ, dễ ngập</v>
      </c>
      <c r="BF42" s="2" t="s">
        <v>311</v>
      </c>
      <c r="BG42" t="b">
        <f t="shared" si="8"/>
        <v>1</v>
      </c>
    </row>
    <row r="43" spans="50:67" x14ac:dyDescent="0.35">
      <c r="AX43" s="2">
        <v>39</v>
      </c>
      <c r="AY43" s="2" t="s">
        <v>185</v>
      </c>
      <c r="AZ43" s="2" t="s">
        <v>265</v>
      </c>
      <c r="BA43" s="2" t="s">
        <v>267</v>
      </c>
      <c r="BB43" s="2" t="s">
        <v>183</v>
      </c>
      <c r="BC43" s="2" t="s">
        <v>236</v>
      </c>
      <c r="BD43" s="2" t="s">
        <v>237</v>
      </c>
      <c r="BE43" s="2" t="str">
        <f>IFERROR(VLOOKUP(BC43,'Master Data'!$BJ$5:$BM$100,4,FALSE),"")</f>
        <v>Mật độ cao, ít cây xanh, ồn ào</v>
      </c>
      <c r="BF43" s="2" t="s">
        <v>312</v>
      </c>
      <c r="BG43" t="b">
        <f t="shared" si="8"/>
        <v>1</v>
      </c>
    </row>
    <row r="44" spans="50:67" x14ac:dyDescent="0.35">
      <c r="AX44" s="2"/>
      <c r="AY44" s="2"/>
      <c r="AZ44" s="2"/>
      <c r="BA44" s="2"/>
      <c r="BB44" s="2"/>
      <c r="BC44" s="2"/>
      <c r="BD44" s="2"/>
      <c r="BE44" s="2" t="str">
        <f>IFERROR(VLOOKUP(BC44,'Master Data'!$BJ$5:$BM$100,4,FALSE),"")</f>
        <v/>
      </c>
      <c r="BF44" s="2"/>
      <c r="BG44" t="b">
        <f t="shared" si="8"/>
        <v>1</v>
      </c>
    </row>
    <row r="45" spans="50:67" x14ac:dyDescent="0.35">
      <c r="AX45" s="2"/>
      <c r="AY45" s="2"/>
      <c r="AZ45" s="2"/>
      <c r="BA45" s="2"/>
      <c r="BB45" s="2"/>
      <c r="BC45" s="2"/>
      <c r="BD45" s="2"/>
      <c r="BE45" s="2" t="str">
        <f>IFERROR(VLOOKUP(BC45,'Master Data'!$BJ$5:$BM$100,4,FALSE),"")</f>
        <v/>
      </c>
      <c r="BF45" s="2"/>
      <c r="BG45" t="b">
        <f t="shared" si="8"/>
        <v>1</v>
      </c>
    </row>
    <row r="46" spans="50:67" x14ac:dyDescent="0.35">
      <c r="AX46" s="2"/>
      <c r="AY46" s="2"/>
      <c r="AZ46" s="2"/>
      <c r="BA46" s="2"/>
      <c r="BB46" s="2"/>
      <c r="BC46" s="2"/>
      <c r="BD46" s="2"/>
      <c r="BE46" s="2" t="str">
        <f>IFERROR(VLOOKUP(BC46,'Master Data'!$BJ$5:$BM$100,4,FALSE),"")</f>
        <v/>
      </c>
      <c r="BF46" s="2"/>
      <c r="BG46" t="b">
        <f t="shared" si="8"/>
        <v>1</v>
      </c>
    </row>
    <row r="47" spans="50:67" x14ac:dyDescent="0.35">
      <c r="AX47" s="2"/>
      <c r="AY47" s="2"/>
      <c r="AZ47" s="2"/>
      <c r="BA47" s="2"/>
      <c r="BB47" s="2"/>
      <c r="BC47" s="2"/>
      <c r="BD47" s="2"/>
      <c r="BE47" s="2" t="str">
        <f>IFERROR(VLOOKUP(BC47,'Master Data'!$BJ$5:$BM$100,4,FALSE),"")</f>
        <v/>
      </c>
      <c r="BF47" s="2"/>
      <c r="BG47" t="b">
        <f t="shared" si="8"/>
        <v>1</v>
      </c>
    </row>
    <row r="48" spans="50:67" x14ac:dyDescent="0.35">
      <c r="AX48" s="2"/>
      <c r="AY48" s="2"/>
      <c r="AZ48" s="2"/>
      <c r="BA48" s="2"/>
      <c r="BB48" s="2"/>
      <c r="BC48" s="2"/>
      <c r="BD48" s="2"/>
      <c r="BE48" s="2" t="str">
        <f>IFERROR(VLOOKUP(BC48,'Master Data'!$BJ$5:$BM$100,4,FALSE),"")</f>
        <v/>
      </c>
      <c r="BF48" s="2"/>
      <c r="BG48" t="b">
        <f t="shared" si="8"/>
        <v>1</v>
      </c>
    </row>
    <row r="49" spans="50:59" x14ac:dyDescent="0.35">
      <c r="AX49" s="2"/>
      <c r="AY49" s="2"/>
      <c r="AZ49" s="2"/>
      <c r="BA49" s="2"/>
      <c r="BB49" s="2"/>
      <c r="BC49" s="2"/>
      <c r="BD49" s="2"/>
      <c r="BE49" s="2" t="str">
        <f>IFERROR(VLOOKUP(BC49,'Master Data'!$BJ$5:$BM$100,4,FALSE),"")</f>
        <v/>
      </c>
      <c r="BF49" s="2"/>
      <c r="BG49" t="b">
        <f t="shared" si="8"/>
        <v>1</v>
      </c>
    </row>
    <row r="50" spans="50:59" x14ac:dyDescent="0.35">
      <c r="AX50" s="2"/>
      <c r="AY50" s="2"/>
      <c r="AZ50" s="2"/>
      <c r="BA50" s="2"/>
      <c r="BB50" s="2"/>
      <c r="BC50" s="2"/>
      <c r="BD50" s="2"/>
      <c r="BE50" s="2" t="str">
        <f>IFERROR(VLOOKUP(BC50,'Master Data'!$BJ$5:$BM$100,4,FALSE),"")</f>
        <v/>
      </c>
      <c r="BF50" s="2"/>
      <c r="BG50" t="b">
        <f t="shared" si="8"/>
        <v>1</v>
      </c>
    </row>
  </sheetData>
  <autoFilter ref="AX4:BF43" xr:uid="{75AC9DCA-D84B-49FE-B2FF-085A73E4AD6E}"/>
  <conditionalFormatting sqref="AU1 AU3:AU1048576">
    <cfRule type="cellIs" dxfId="1" priority="1" operator="equal">
      <formula>"Done"</formula>
    </cfRule>
    <cfRule type="cellIs" dxfId="0" priority="2" operator="equal">
      <formula>"In progress"</formula>
    </cfRule>
  </conditionalFormatting>
  <dataValidations count="3">
    <dataValidation type="list" showInputMessage="1" showErrorMessage="1" sqref="AR5:AR14" xr:uid="{FEA3136D-B306-4DD2-9DE9-2F80C3CDF1E8}">
      <formula1>Muc_Tieu</formula1>
    </dataValidation>
    <dataValidation type="list" showInputMessage="1" showErrorMessage="1" sqref="AU5:AU14" xr:uid="{42022406-53BE-4E89-83F3-4693AF77BA88}">
      <formula1>Trang_Thai</formula1>
    </dataValidation>
    <dataValidation type="list" showInputMessage="1" showErrorMessage="1" sqref="BK5:BK22" xr:uid="{90D8B560-531B-4465-8B37-1A4C87CB6152}">
      <formula1>Loai_Thong_Tin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Dự đoán giá nhà</vt:lpstr>
      <vt:lpstr>Giá nhà hiện tại</vt:lpstr>
      <vt:lpstr>Master Data</vt:lpstr>
      <vt:lpstr>Loai_Thong_Tin</vt:lpstr>
      <vt:lpstr>Muc_Tieu</vt:lpstr>
      <vt:lpstr>To_Chuc</vt:lpstr>
      <vt:lpstr>Trang_Thai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Khánh Trương</dc:creator>
  <cp:lastModifiedBy>Khánh Trương</cp:lastModifiedBy>
  <dcterms:created xsi:type="dcterms:W3CDTF">2025-11-06T12:35:13Z</dcterms:created>
  <dcterms:modified xsi:type="dcterms:W3CDTF">2025-11-09T05:21:18Z</dcterms:modified>
</cp:coreProperties>
</file>