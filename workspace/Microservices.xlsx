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Workspace\"/>
    </mc:Choice>
  </mc:AlternateContent>
  <xr:revisionPtr revIDLastSave="0" documentId="13_ncr:1_{93BFEA57-F888-431C-88D6-390D63D1839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ystem Operations" sheetId="1" r:id="rId1"/>
    <sheet name="System Operations Details" sheetId="4" r:id="rId2"/>
    <sheet name="Subdomains" sheetId="3" r:id="rId3"/>
    <sheet name="Master Data" sheetId="2" r:id="rId4"/>
  </sheets>
  <definedNames>
    <definedName name="System_Operations">'System Operations'!$A$7:$A$100</definedName>
    <definedName name="System_Operations_Columns">'Master Data'!$D$5:$D$20</definedName>
    <definedName name="To_Chuc">'Master Data'!$D$5:$D$20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4" l="1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7" i="4"/>
  <c r="C6" i="4"/>
  <c r="E6" i="4"/>
  <c r="D6" i="4"/>
  <c r="B6" i="4"/>
  <c r="A6" i="4"/>
  <c r="A1" i="4"/>
  <c r="A6" i="1"/>
  <c r="B6" i="1"/>
  <c r="C6" i="1"/>
  <c r="D6" i="1"/>
  <c r="E6" i="1"/>
  <c r="F6" i="1"/>
  <c r="G6" i="1"/>
  <c r="A1" i="1"/>
  <c r="A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BG2" i="2"/>
  <c r="BH2" i="2"/>
  <c r="BI2" i="2"/>
  <c r="BJ2" i="2"/>
  <c r="BK2" i="2"/>
  <c r="BL2" i="2"/>
  <c r="BM2" i="2"/>
  <c r="BN2" i="2"/>
  <c r="BO2" i="2"/>
  <c r="BP2" i="2"/>
  <c r="BQ2" i="2"/>
  <c r="BR2" i="2"/>
  <c r="BS2" i="2"/>
  <c r="BT2" i="2"/>
  <c r="BU2" i="2"/>
  <c r="BV2" i="2"/>
  <c r="BW2" i="2"/>
  <c r="BX2" i="2"/>
  <c r="BY2" i="2"/>
  <c r="BZ2" i="2"/>
  <c r="CA2" i="2"/>
  <c r="CB2" i="2"/>
  <c r="CC2" i="2"/>
  <c r="CD2" i="2"/>
  <c r="CE2" i="2"/>
  <c r="CF2" i="2"/>
  <c r="CG2" i="2"/>
  <c r="CH2" i="2"/>
  <c r="CI2" i="2"/>
  <c r="CJ2" i="2"/>
  <c r="CK2" i="2"/>
  <c r="CL2" i="2"/>
  <c r="CM2" i="2"/>
  <c r="CN2" i="2"/>
  <c r="CO2" i="2"/>
  <c r="CP2" i="2"/>
  <c r="CQ2" i="2"/>
  <c r="CR2" i="2"/>
  <c r="CS2" i="2"/>
  <c r="CT2" i="2"/>
  <c r="CU2" i="2"/>
  <c r="CV2" i="2"/>
  <c r="CW2" i="2"/>
  <c r="CX2" i="2"/>
  <c r="CY2" i="2"/>
  <c r="CZ2" i="2"/>
  <c r="DA2" i="2"/>
  <c r="DB2" i="2"/>
  <c r="DC2" i="2"/>
  <c r="DD2" i="2"/>
  <c r="DE2" i="2"/>
  <c r="DF2" i="2"/>
  <c r="DG2" i="2"/>
  <c r="DH2" i="2"/>
  <c r="DI2" i="2"/>
  <c r="DJ2" i="2"/>
  <c r="DK2" i="2"/>
  <c r="DL2" i="2"/>
  <c r="DM2" i="2"/>
  <c r="DN2" i="2"/>
  <c r="DO2" i="2"/>
  <c r="DP2" i="2"/>
  <c r="DQ2" i="2"/>
  <c r="DR2" i="2"/>
  <c r="DS2" i="2"/>
  <c r="DT2" i="2"/>
  <c r="DU2" i="2"/>
  <c r="DV2" i="2"/>
  <c r="DW2" i="2"/>
  <c r="DX2" i="2"/>
  <c r="DY2" i="2"/>
  <c r="DZ2" i="2"/>
  <c r="EA2" i="2"/>
  <c r="EB2" i="2"/>
  <c r="EC2" i="2"/>
  <c r="ED2" i="2"/>
  <c r="EE2" i="2"/>
  <c r="EF2" i="2"/>
  <c r="EG2" i="2"/>
  <c r="EH2" i="2"/>
  <c r="EI2" i="2"/>
  <c r="EJ2" i="2"/>
  <c r="EK2" i="2"/>
  <c r="EL2" i="2"/>
  <c r="EM2" i="2"/>
  <c r="EN2" i="2"/>
  <c r="EO2" i="2"/>
  <c r="EP2" i="2"/>
  <c r="EQ2" i="2"/>
  <c r="ER2" i="2"/>
  <c r="ES2" i="2"/>
  <c r="ET2" i="2"/>
  <c r="EU2" i="2"/>
  <c r="EV2" i="2"/>
  <c r="EW2" i="2"/>
  <c r="EX2" i="2"/>
  <c r="EY2" i="2"/>
  <c r="EZ2" i="2"/>
  <c r="FA2" i="2"/>
  <c r="FB2" i="2"/>
  <c r="FC2" i="2"/>
  <c r="FD2" i="2"/>
  <c r="FE2" i="2"/>
  <c r="FF2" i="2"/>
  <c r="FG2" i="2"/>
  <c r="FH2" i="2"/>
  <c r="FI2" i="2"/>
  <c r="FJ2" i="2"/>
  <c r="FK2" i="2"/>
  <c r="FL2" i="2"/>
  <c r="FM2" i="2"/>
  <c r="FN2" i="2"/>
  <c r="FO2" i="2"/>
  <c r="FP2" i="2"/>
  <c r="FQ2" i="2"/>
  <c r="FR2" i="2"/>
  <c r="FS2" i="2"/>
  <c r="FT2" i="2"/>
  <c r="FU2" i="2"/>
  <c r="FV2" i="2"/>
  <c r="FW2" i="2"/>
  <c r="FX2" i="2"/>
  <c r="FY2" i="2"/>
  <c r="FZ2" i="2"/>
  <c r="GA2" i="2"/>
  <c r="GB2" i="2"/>
  <c r="GC2" i="2"/>
  <c r="GD2" i="2"/>
  <c r="GE2" i="2"/>
  <c r="GF2" i="2"/>
  <c r="GG2" i="2"/>
  <c r="GH2" i="2"/>
  <c r="GI2" i="2"/>
  <c r="GJ2" i="2"/>
  <c r="GK2" i="2"/>
  <c r="GL2" i="2"/>
  <c r="GM2" i="2"/>
  <c r="GN2" i="2"/>
  <c r="GO2" i="2"/>
  <c r="GP2" i="2"/>
  <c r="GQ2" i="2"/>
  <c r="GR2" i="2"/>
  <c r="GS2" i="2"/>
  <c r="GT2" i="2"/>
  <c r="GU2" i="2"/>
  <c r="GV2" i="2"/>
  <c r="GW2" i="2"/>
  <c r="GX2" i="2"/>
  <c r="GY2" i="2"/>
  <c r="B5" i="2" a="1"/>
  <c r="B5" i="2" s="1"/>
  <c r="A5" i="2" l="1" a="1"/>
  <c r="A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<sst xmlns="http://schemas.openxmlformats.org/spreadsheetml/2006/main" count="90" uniqueCount="54">
  <si>
    <t>Cột 4</t>
  </si>
  <si>
    <t>Cột 3</t>
  </si>
  <si>
    <t>Cột 2</t>
  </si>
  <si>
    <t>Cột 1</t>
  </si>
  <si>
    <t>Tên</t>
  </si>
  <si>
    <t>STT</t>
  </si>
  <si>
    <t>Master Data 2</t>
  </si>
  <si>
    <t>Danh sách Master Data</t>
  </si>
  <si>
    <t>MD</t>
  </si>
  <si>
    <t>Name</t>
  </si>
  <si>
    <t>Parameters</t>
  </si>
  <si>
    <t>Return Value</t>
  </si>
  <si>
    <t>Trigger</t>
  </si>
  <si>
    <t>Service Level Objectives</t>
  </si>
  <si>
    <t>Preconditions</t>
  </si>
  <si>
    <t>Postconditions</t>
  </si>
  <si>
    <t>Business operation name using ubiquitous language (not an API endpoint)</t>
  </si>
  <si>
    <t>Business input data required to execute the command</t>
  </si>
  <si>
    <t>The result of the operation, typically an identifier or outcome</t>
  </si>
  <si>
    <t>What initiates the command (user action, system event, scheduled job, etc.)</t>
  </si>
  <si>
    <t>Conditions that must be true before execution</t>
  </si>
  <si>
    <t>Guarantees and state changes after execution</t>
  </si>
  <si>
    <t>Business Tier, Latency, Throughput, Availability</t>
  </si>
  <si>
    <t>Tên nghiệp vụ sử dụng ngôn ngữ chung (ubiquitous language), không phải tên API</t>
  </si>
  <si>
    <t>Dữ liệu đầu vào nghiệp vụ cần để thực thi thao tác</t>
  </si>
  <si>
    <t>Kết quả của thao tác, thường là ID hoặc outcome</t>
  </si>
  <si>
    <t>Điều gì kích hoạt thao tác (user action, system event, job định kỳ,...)</t>
  </si>
  <si>
    <t>Mức độ quan trọng nghiệp vụ, độ trễ, thông lượng, độ sẵn sàng</t>
  </si>
  <si>
    <t>Các điều kiện phải đúng trước khi thực thi</t>
  </si>
  <si>
    <t>Các đảm bảo và thay đổi trạng thái sau khi thực thi</t>
  </si>
  <si>
    <t>English</t>
  </si>
  <si>
    <t>Typing</t>
  </si>
  <si>
    <t>-</t>
  </si>
  <si>
    <t>Typing (camelCase)</t>
  </si>
  <si>
    <t>placeOrder</t>
  </si>
  <si>
    <t>System Operations Column Name</t>
  </si>
  <si>
    <t>Value</t>
  </si>
  <si>
    <t>System Operations Name</t>
  </si>
  <si>
    <t>Note</t>
  </si>
  <si>
    <t>Operation's name in sheet "System Operations"</t>
  </si>
  <si>
    <t>Tên của Operation ở sheet "System Operations"</t>
  </si>
  <si>
    <t>Select an option</t>
  </si>
  <si>
    <t>Column name in sheet "System Operations"</t>
  </si>
  <si>
    <t>Tên cột ở sheet "System Operations" mà bạn muốn điền</t>
  </si>
  <si>
    <t>Giá trị tương ứng</t>
  </si>
  <si>
    <t>Input in sheet "System Operations Details"</t>
  </si>
  <si>
    <t>System Operations Columns</t>
  </si>
  <si>
    <t>Column</t>
  </si>
  <si>
    <t>Value Convention</t>
  </si>
  <si>
    <t>Quy ước cách viết giá trị (camelCase, tự do, …)</t>
  </si>
  <si>
    <t>Convention of value input (camelCase, free text, ….)</t>
  </si>
  <si>
    <t>Automatically Display</t>
  </si>
  <si>
    <t>camelCase</t>
  </si>
  <si>
    <t>Free text (multiple rows 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</si>
</sst>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sz val="11"/>
      <color theme="9" tint="0.79998168889431442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4" fillId="0" borderId="0" xfId="1"/>
    <xf numFmtId="0" fontId="4" fillId="0" borderId="1" xfId="1" applyBorder="1"/>
    <xf numFmtId="0" fontId="2" fillId="0" borderId="1" xfId="1" applyFont="1" applyBorder="1"/>
    <xf numFmtId="0" fontId="2" fillId="0" borderId="0" xfId="1" applyFont="1"/>
    <xf numFmtId="0" fontId="0" fillId="0" borderId="0" xfId="0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/>
    </xf>
    <xf numFmtId="0" fontId="0" fillId="3" borderId="0" xfId="0" applyFill="1" applyAlignment="1">
      <alignment horizontal="right"/>
    </xf>
    <xf numFmtId="0" fontId="0" fillId="4" borderId="0" xfId="0" applyFill="1"/>
    <xf numFmtId="0" fontId="0" fillId="3" borderId="0" xfId="0" applyFill="1"/>
    <xf numFmtId="0" fontId="5" fillId="3" borderId="0" xfId="0" applyFont="1" applyFill="1"/>
    <xf numFmtId="0" fontId="5" fillId="4" borderId="0" xfId="0" applyFont="1" applyFill="1"/>
    <xf numFmtId="0" fontId="1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</cellXfs>
  <cellStyles count="2">
    <cellStyle name="Normal" xfId="0" builtinId="0"/>
    <cellStyle name="Normal 2" xfId="1" xr:uid="{37E01359-670D-4119-8058-7A580F0171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pane ySplit="6" topLeftCell="A29" activePane="bottomLeft" state="frozen"/>
      <selection pane="bottomLeft" activeCell="C29" sqref="C29"/>
    </sheetView>
  </sheetViews>
  <sheetFormatPr defaultColWidth="30.69921875" defaultRowHeight="13.8" x14ac:dyDescent="0.25"/>
  <cols>
    <col min="1" max="1" width="41.09765625" customWidth="1"/>
    <col min="4" max="4" width="33.69921875" customWidth="1"/>
  </cols>
  <sheetData>
    <row r="1" spans="1:8" x14ac:dyDescent="0.25">
      <c r="A1" s="14" t="str">
        <f>IF(B1="English","Language","Ngôn ngữ")</f>
        <v>Language</v>
      </c>
      <c r="B1" s="15" t="s">
        <v>30</v>
      </c>
      <c r="C1" s="16"/>
      <c r="D1" s="17"/>
      <c r="E1" s="18"/>
      <c r="F1" s="15"/>
      <c r="G1" s="15"/>
    </row>
    <row r="2" spans="1:8" s="11" customFormat="1" hidden="1" x14ac:dyDescent="0.25">
      <c r="A2" s="10" t="s">
        <v>9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15</v>
      </c>
      <c r="H2" s="11" t="s">
        <v>32</v>
      </c>
    </row>
    <row r="3" spans="1:8" s="11" customFormat="1" ht="41.4" hidden="1" x14ac:dyDescent="0.25">
      <c r="A3" s="12" t="s">
        <v>16</v>
      </c>
      <c r="B3" s="12" t="s">
        <v>17</v>
      </c>
      <c r="C3" s="12" t="s">
        <v>18</v>
      </c>
      <c r="D3" s="12" t="s">
        <v>19</v>
      </c>
      <c r="E3" s="12" t="s">
        <v>22</v>
      </c>
      <c r="F3" s="12" t="s">
        <v>20</v>
      </c>
      <c r="G3" s="12" t="s">
        <v>21</v>
      </c>
      <c r="H3" s="11" t="s">
        <v>32</v>
      </c>
    </row>
    <row r="4" spans="1:8" s="11" customFormat="1" ht="27.6" hidden="1" x14ac:dyDescent="0.25">
      <c r="A4" s="7" t="s">
        <v>23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  <c r="G4" s="7" t="s">
        <v>29</v>
      </c>
      <c r="H4" s="11" t="s">
        <v>32</v>
      </c>
    </row>
    <row r="5" spans="1:8" s="11" customFormat="1" hidden="1" x14ac:dyDescent="0.25">
      <c r="A5" s="13" t="s">
        <v>33</v>
      </c>
      <c r="B5" s="13" t="s">
        <v>45</v>
      </c>
      <c r="C5" s="13" t="s">
        <v>31</v>
      </c>
      <c r="D5" s="13" t="s">
        <v>31</v>
      </c>
      <c r="E5" s="13" t="s">
        <v>31</v>
      </c>
      <c r="F5" s="13" t="s">
        <v>31</v>
      </c>
      <c r="G5" s="13" t="s">
        <v>31</v>
      </c>
      <c r="H5" s="11" t="s">
        <v>32</v>
      </c>
    </row>
    <row r="6" spans="1:8" s="9" customFormat="1" ht="96.6" x14ac:dyDescent="0.25">
      <c r="A6" s="8" t="str">
        <f>A2 &amp; CHAR(10) &amp; "------" &amp; CHAR(10) &amp; IF($B1="English", A3, A4) &amp; CHAR(10) &amp; "-----" &amp; CHAR(10) &amp; A5</f>
        <v>Name
------
Business operation name using ubiquitous language (not an API endpoint)
-----
Typing (camelCase)</v>
      </c>
      <c r="B6" s="8" t="str">
        <f t="shared" ref="B6:G6" si="0">B2 &amp; CHAR(10) &amp; "------" &amp; CHAR(10) &amp; IF($B1="English", B3, B4) &amp; CHAR(10) &amp; "-----" &amp; CHAR(10) &amp; B5</f>
        <v>Parameters
------
Business input data required to execute the command
-----
Input in sheet "System Operations Details"</v>
      </c>
      <c r="C6" s="8" t="str">
        <f t="shared" si="0"/>
        <v>Return Value
------
The result of the operation, typically an identifier or outcome
-----
Typing</v>
      </c>
      <c r="D6" s="8" t="str">
        <f t="shared" si="0"/>
        <v>Trigger
------
What initiates the command (user action, system event, scheduled job, etc.)
-----
Typing</v>
      </c>
      <c r="E6" s="8" t="str">
        <f t="shared" si="0"/>
        <v>Service Level Objectives
------
Business Tier, Latency, Throughput, Availability
-----
Typing</v>
      </c>
      <c r="F6" s="8" t="str">
        <f t="shared" si="0"/>
        <v>Preconditions
------
Conditions that must be true before execution
-----
Typing</v>
      </c>
      <c r="G6" s="8" t="str">
        <f t="shared" si="0"/>
        <v>Postconditions
------
Guarantees and state changes after execution
-----
Typing</v>
      </c>
      <c r="H6" s="9" t="s">
        <v>32</v>
      </c>
    </row>
    <row r="7" spans="1:8" x14ac:dyDescent="0.25">
      <c r="A7" s="6" t="s">
        <v>34</v>
      </c>
      <c r="B7" s="6"/>
      <c r="C7" s="6"/>
      <c r="D7" s="6"/>
      <c r="E7" s="6"/>
      <c r="F7" s="6"/>
      <c r="G7" s="6"/>
    </row>
    <row r="8" spans="1:8" x14ac:dyDescent="0.25">
      <c r="A8" s="6"/>
      <c r="B8" s="6"/>
      <c r="C8" s="6"/>
      <c r="D8" s="6"/>
      <c r="E8" s="6"/>
      <c r="F8" s="6"/>
      <c r="G8" s="6"/>
    </row>
    <row r="9" spans="1:8" x14ac:dyDescent="0.25">
      <c r="A9" s="6"/>
      <c r="B9" s="6"/>
      <c r="C9" s="6"/>
      <c r="D9" s="6"/>
      <c r="E9" s="6"/>
      <c r="F9" s="6"/>
      <c r="G9" s="6"/>
    </row>
    <row r="10" spans="1:8" x14ac:dyDescent="0.25">
      <c r="A10" s="6"/>
      <c r="B10" s="6"/>
      <c r="C10" s="6"/>
      <c r="D10" s="6"/>
      <c r="E10" s="6"/>
      <c r="F10" s="6"/>
      <c r="G10" s="6"/>
    </row>
    <row r="11" spans="1:8" x14ac:dyDescent="0.25">
      <c r="A11" s="6"/>
      <c r="B11" s="6"/>
      <c r="C11" s="6"/>
      <c r="D11" s="6"/>
      <c r="E11" s="6"/>
      <c r="F11" s="6"/>
      <c r="G11" s="6"/>
    </row>
    <row r="12" spans="1:8" x14ac:dyDescent="0.25">
      <c r="A12" s="6"/>
      <c r="B12" s="6"/>
      <c r="C12" s="6"/>
      <c r="D12" s="6"/>
      <c r="E12" s="6"/>
      <c r="F12" s="6"/>
      <c r="G12" s="6"/>
    </row>
    <row r="13" spans="1:8" x14ac:dyDescent="0.25">
      <c r="A13" s="6"/>
      <c r="B13" s="6"/>
      <c r="C13" s="6"/>
      <c r="D13" s="6"/>
      <c r="E13" s="6"/>
      <c r="F13" s="6"/>
      <c r="G13" s="6"/>
    </row>
    <row r="14" spans="1:8" x14ac:dyDescent="0.25">
      <c r="A14" s="6"/>
      <c r="B14" s="6"/>
      <c r="C14" s="6"/>
      <c r="D14" s="6"/>
      <c r="E14" s="6"/>
      <c r="F14" s="6"/>
      <c r="G14" s="6"/>
    </row>
    <row r="15" spans="1:8" x14ac:dyDescent="0.25">
      <c r="A15" s="6"/>
      <c r="B15" s="6"/>
      <c r="C15" s="6"/>
      <c r="D15" s="6"/>
      <c r="E15" s="6"/>
      <c r="F15" s="6"/>
      <c r="G15" s="6"/>
    </row>
    <row r="16" spans="1:8" x14ac:dyDescent="0.25">
      <c r="A16" s="6"/>
      <c r="B16" s="6"/>
      <c r="C16" s="6"/>
      <c r="D16" s="6"/>
      <c r="E16" s="6"/>
      <c r="F16" s="6"/>
      <c r="G16" s="6"/>
    </row>
    <row r="17" spans="1:7" x14ac:dyDescent="0.25">
      <c r="A17" s="6"/>
      <c r="B17" s="6"/>
      <c r="C17" s="6"/>
      <c r="D17" s="6"/>
      <c r="E17" s="6"/>
      <c r="F17" s="6"/>
      <c r="G17" s="6"/>
    </row>
    <row r="18" spans="1:7" x14ac:dyDescent="0.25">
      <c r="A18" s="6"/>
      <c r="B18" s="6"/>
      <c r="C18" s="6"/>
      <c r="D18" s="6"/>
      <c r="E18" s="6"/>
      <c r="F18" s="6"/>
      <c r="G18" s="6"/>
    </row>
    <row r="19" spans="1:7" x14ac:dyDescent="0.25">
      <c r="A19" s="6"/>
      <c r="B19" s="6"/>
      <c r="C19" s="6"/>
      <c r="D19" s="6"/>
      <c r="E19" s="6"/>
      <c r="F19" s="6"/>
      <c r="G19" s="6"/>
    </row>
    <row r="20" spans="1:7" x14ac:dyDescent="0.25">
      <c r="A20" s="6"/>
      <c r="B20" s="6"/>
      <c r="C20" s="6"/>
      <c r="D20" s="6"/>
      <c r="E20" s="6"/>
      <c r="F20" s="6"/>
      <c r="G20" s="6"/>
    </row>
    <row r="21" spans="1:7" x14ac:dyDescent="0.25">
      <c r="A21" s="6"/>
      <c r="B21" s="6"/>
      <c r="C21" s="6"/>
      <c r="D21" s="6"/>
      <c r="E21" s="6"/>
      <c r="F21" s="6"/>
      <c r="G21" s="6"/>
    </row>
    <row r="22" spans="1:7" x14ac:dyDescent="0.25">
      <c r="A22" s="6"/>
      <c r="B22" s="6"/>
      <c r="C22" s="6"/>
      <c r="D22" s="6"/>
      <c r="E22" s="6"/>
      <c r="F22" s="6"/>
      <c r="G22" s="6"/>
    </row>
    <row r="23" spans="1:7" x14ac:dyDescent="0.25">
      <c r="A23" s="6"/>
      <c r="B23" s="6"/>
      <c r="C23" s="6"/>
      <c r="D23" s="6"/>
      <c r="E23" s="6"/>
      <c r="F23" s="6"/>
      <c r="G23" s="6"/>
    </row>
    <row r="24" spans="1:7" x14ac:dyDescent="0.25">
      <c r="A24" s="6"/>
      <c r="B24" s="6"/>
      <c r="C24" s="6"/>
      <c r="D24" s="6"/>
      <c r="E24" s="6"/>
      <c r="F24" s="6"/>
      <c r="G24" s="6"/>
    </row>
    <row r="25" spans="1:7" x14ac:dyDescent="0.25">
      <c r="A25" s="6"/>
      <c r="B25" s="6"/>
      <c r="C25" s="6"/>
      <c r="D25" s="6"/>
      <c r="E25" s="6"/>
      <c r="F25" s="6"/>
      <c r="G25" s="6"/>
    </row>
    <row r="26" spans="1:7" x14ac:dyDescent="0.25">
      <c r="A26" s="6"/>
      <c r="B26" s="6"/>
      <c r="C26" s="6"/>
      <c r="D26" s="6"/>
      <c r="E26" s="6"/>
      <c r="F26" s="6"/>
      <c r="G26" s="6"/>
    </row>
    <row r="27" spans="1:7" x14ac:dyDescent="0.25">
      <c r="A27" s="6"/>
      <c r="B27" s="6"/>
      <c r="C27" s="6"/>
      <c r="D27" s="6"/>
      <c r="E27" s="6"/>
      <c r="F27" s="6"/>
      <c r="G27" s="6"/>
    </row>
    <row r="28" spans="1:7" x14ac:dyDescent="0.25">
      <c r="A28" s="6"/>
      <c r="B28" s="6"/>
      <c r="C28" s="6"/>
      <c r="D28" s="6"/>
      <c r="E28" s="6"/>
      <c r="F28" s="6"/>
      <c r="G28" s="6"/>
    </row>
    <row r="29" spans="1:7" x14ac:dyDescent="0.25">
      <c r="A29" s="6"/>
      <c r="B29" s="6"/>
      <c r="C29" s="6"/>
      <c r="D29" s="6"/>
      <c r="E29" s="6"/>
      <c r="F29" s="6"/>
      <c r="G29" s="6"/>
    </row>
    <row r="30" spans="1:7" x14ac:dyDescent="0.25">
      <c r="A30" s="6"/>
      <c r="B30" s="6"/>
      <c r="C30" s="6"/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6"/>
      <c r="B72" s="6"/>
      <c r="C72" s="6"/>
      <c r="D72" s="6"/>
      <c r="E72" s="6"/>
      <c r="F72" s="6"/>
      <c r="G72" s="6"/>
    </row>
    <row r="73" spans="1:7" x14ac:dyDescent="0.25">
      <c r="A73" s="6"/>
      <c r="B73" s="6"/>
      <c r="C73" s="6"/>
      <c r="D73" s="6"/>
      <c r="E73" s="6"/>
      <c r="F73" s="6"/>
      <c r="G73" s="6"/>
    </row>
    <row r="74" spans="1:7" x14ac:dyDescent="0.25">
      <c r="A74" s="6"/>
      <c r="B74" s="6"/>
      <c r="C74" s="6"/>
      <c r="D74" s="6"/>
      <c r="E74" s="6"/>
      <c r="F74" s="6"/>
      <c r="G74" s="6"/>
    </row>
    <row r="75" spans="1:7" x14ac:dyDescent="0.25">
      <c r="A75" s="6"/>
      <c r="B75" s="6"/>
      <c r="C75" s="6"/>
      <c r="D75" s="6"/>
      <c r="E75" s="6"/>
      <c r="F75" s="6"/>
      <c r="G75" s="6"/>
    </row>
    <row r="76" spans="1:7" x14ac:dyDescent="0.25">
      <c r="A76" s="6"/>
      <c r="B76" s="6"/>
      <c r="C76" s="6"/>
      <c r="D76" s="6"/>
      <c r="E76" s="6"/>
      <c r="F76" s="6"/>
      <c r="G76" s="6"/>
    </row>
    <row r="77" spans="1:7" x14ac:dyDescent="0.25">
      <c r="A77" s="6"/>
      <c r="B77" s="6"/>
      <c r="C77" s="6"/>
      <c r="D77" s="6"/>
      <c r="E77" s="6"/>
      <c r="F77" s="6"/>
      <c r="G77" s="6"/>
    </row>
    <row r="78" spans="1:7" x14ac:dyDescent="0.25">
      <c r="A78" s="6"/>
      <c r="B78" s="6"/>
      <c r="C78" s="6"/>
      <c r="D78" s="6"/>
      <c r="E78" s="6"/>
      <c r="F78" s="6"/>
      <c r="G78" s="6"/>
    </row>
    <row r="79" spans="1:7" x14ac:dyDescent="0.25">
      <c r="A79" s="6"/>
      <c r="B79" s="6"/>
      <c r="C79" s="6"/>
      <c r="D79" s="6"/>
      <c r="E79" s="6"/>
      <c r="F79" s="6"/>
      <c r="G79" s="6"/>
    </row>
    <row r="80" spans="1:7" x14ac:dyDescent="0.25">
      <c r="A80" s="6"/>
      <c r="B80" s="6"/>
      <c r="C80" s="6"/>
      <c r="D80" s="6"/>
      <c r="E80" s="6"/>
      <c r="F80" s="6"/>
      <c r="G80" s="6"/>
    </row>
    <row r="81" spans="1:7" x14ac:dyDescent="0.25">
      <c r="A81" s="6"/>
      <c r="B81" s="6"/>
      <c r="C81" s="6"/>
      <c r="D81" s="6"/>
      <c r="E81" s="6"/>
      <c r="F81" s="6"/>
      <c r="G81" s="6"/>
    </row>
    <row r="82" spans="1:7" x14ac:dyDescent="0.25">
      <c r="A82" s="6"/>
      <c r="B82" s="6"/>
      <c r="C82" s="6"/>
      <c r="D82" s="6"/>
      <c r="E82" s="6"/>
      <c r="F82" s="6"/>
      <c r="G82" s="6"/>
    </row>
    <row r="83" spans="1:7" x14ac:dyDescent="0.25">
      <c r="A83" s="6"/>
      <c r="B83" s="6"/>
      <c r="C83" s="6"/>
      <c r="D83" s="6"/>
      <c r="E83" s="6"/>
      <c r="F83" s="6"/>
      <c r="G83" s="6"/>
    </row>
    <row r="84" spans="1:7" x14ac:dyDescent="0.25">
      <c r="A84" s="6"/>
      <c r="B84" s="6"/>
      <c r="C84" s="6"/>
      <c r="D84" s="6"/>
      <c r="E84" s="6"/>
      <c r="F84" s="6"/>
      <c r="G84" s="6"/>
    </row>
    <row r="85" spans="1:7" x14ac:dyDescent="0.25">
      <c r="A85" s="6"/>
      <c r="B85" s="6"/>
      <c r="C85" s="6"/>
      <c r="D85" s="6"/>
      <c r="E85" s="6"/>
      <c r="F85" s="6"/>
      <c r="G85" s="6"/>
    </row>
    <row r="86" spans="1:7" x14ac:dyDescent="0.25">
      <c r="A86" s="6"/>
      <c r="B86" s="6"/>
      <c r="C86" s="6"/>
      <c r="D86" s="6"/>
      <c r="E86" s="6"/>
      <c r="F86" s="6"/>
      <c r="G86" s="6"/>
    </row>
    <row r="87" spans="1:7" x14ac:dyDescent="0.25">
      <c r="A87" s="6"/>
      <c r="B87" s="6"/>
      <c r="C87" s="6"/>
      <c r="D87" s="6"/>
      <c r="E87" s="6"/>
      <c r="F87" s="6"/>
      <c r="G87" s="6"/>
    </row>
    <row r="88" spans="1:7" x14ac:dyDescent="0.25">
      <c r="A88" s="6"/>
      <c r="B88" s="6"/>
      <c r="C88" s="6"/>
      <c r="D88" s="6"/>
      <c r="E88" s="6"/>
      <c r="F88" s="6"/>
      <c r="G88" s="6"/>
    </row>
    <row r="89" spans="1:7" x14ac:dyDescent="0.25">
      <c r="A89" s="6"/>
      <c r="B89" s="6"/>
      <c r="C89" s="6"/>
      <c r="D89" s="6"/>
      <c r="E89" s="6"/>
      <c r="F89" s="6"/>
      <c r="G89" s="6"/>
    </row>
    <row r="90" spans="1:7" x14ac:dyDescent="0.25">
      <c r="A90" s="6"/>
      <c r="B90" s="6"/>
      <c r="C90" s="6"/>
      <c r="D90" s="6"/>
      <c r="E90" s="6"/>
      <c r="F90" s="6"/>
      <c r="G90" s="6"/>
    </row>
    <row r="91" spans="1:7" x14ac:dyDescent="0.25">
      <c r="A91" s="6"/>
      <c r="B91" s="6"/>
      <c r="C91" s="6"/>
      <c r="D91" s="6"/>
      <c r="E91" s="6"/>
      <c r="F91" s="6"/>
      <c r="G91" s="6"/>
    </row>
    <row r="92" spans="1:7" x14ac:dyDescent="0.25">
      <c r="A92" s="6"/>
      <c r="B92" s="6"/>
      <c r="C92" s="6"/>
      <c r="D92" s="6"/>
      <c r="E92" s="6"/>
      <c r="F92" s="6"/>
      <c r="G92" s="6"/>
    </row>
    <row r="93" spans="1:7" x14ac:dyDescent="0.25">
      <c r="A93" s="6"/>
      <c r="B93" s="6"/>
      <c r="C93" s="6"/>
      <c r="D93" s="6"/>
      <c r="E93" s="6"/>
      <c r="F93" s="6"/>
      <c r="G93" s="6"/>
    </row>
    <row r="94" spans="1:7" x14ac:dyDescent="0.25">
      <c r="A94" s="6"/>
      <c r="B94" s="6"/>
      <c r="C94" s="6"/>
      <c r="D94" s="6"/>
      <c r="E94" s="6"/>
      <c r="F94" s="6"/>
      <c r="G94" s="6"/>
    </row>
    <row r="95" spans="1:7" x14ac:dyDescent="0.25">
      <c r="A95" s="6"/>
      <c r="B95" s="6"/>
      <c r="C95" s="6"/>
      <c r="D95" s="6"/>
      <c r="E95" s="6"/>
      <c r="F95" s="6"/>
      <c r="G95" s="6"/>
    </row>
    <row r="96" spans="1:7" x14ac:dyDescent="0.25">
      <c r="A96" s="6"/>
      <c r="B96" s="6"/>
      <c r="C96" s="6"/>
      <c r="D96" s="6"/>
      <c r="E96" s="6"/>
      <c r="F96" s="6"/>
      <c r="G96" s="6"/>
    </row>
    <row r="97" spans="1:7" x14ac:dyDescent="0.25">
      <c r="A97" s="6"/>
      <c r="B97" s="6"/>
      <c r="C97" s="6"/>
      <c r="D97" s="6"/>
      <c r="E97" s="6"/>
      <c r="F97" s="6"/>
      <c r="G97" s="6"/>
    </row>
    <row r="98" spans="1:7" x14ac:dyDescent="0.25">
      <c r="A98" s="6"/>
      <c r="B98" s="6"/>
      <c r="C98" s="6"/>
      <c r="D98" s="6"/>
      <c r="E98" s="6"/>
      <c r="F98" s="6"/>
      <c r="G98" s="6"/>
    </row>
    <row r="99" spans="1:7" x14ac:dyDescent="0.25">
      <c r="A99" s="6"/>
      <c r="B99" s="6"/>
      <c r="C99" s="6"/>
      <c r="D99" s="6"/>
      <c r="E99" s="6"/>
      <c r="F99" s="6"/>
      <c r="G99" s="6"/>
    </row>
    <row r="100" spans="1:7" x14ac:dyDescent="0.25">
      <c r="A100" s="6"/>
      <c r="B100" s="6"/>
      <c r="C100" s="6"/>
      <c r="D100" s="6"/>
      <c r="E100" s="6"/>
      <c r="F100" s="6"/>
      <c r="G100" s="6"/>
    </row>
    <row r="101" spans="1:7" x14ac:dyDescent="0.25">
      <c r="A101" t="s">
        <v>32</v>
      </c>
      <c r="B101" t="s">
        <v>32</v>
      </c>
      <c r="C101" t="s">
        <v>32</v>
      </c>
      <c r="D101" t="s">
        <v>32</v>
      </c>
      <c r="E101" t="s">
        <v>32</v>
      </c>
      <c r="F101" t="s">
        <v>32</v>
      </c>
      <c r="G101" t="s">
        <v>32</v>
      </c>
    </row>
  </sheetData>
  <dataValidations count="1">
    <dataValidation type="list" showInputMessage="1" showErrorMessage="1" sqref="B1" xr:uid="{3885B7DF-229D-4A2C-A052-A15EA241FFF1}">
      <formula1>"English,Tiếng Việt"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E91A-6ABF-4712-8477-41705E0E55AA}">
  <dimension ref="A1:E101"/>
  <sheetViews>
    <sheetView workbookViewId="0">
      <pane ySplit="6" topLeftCell="A7" activePane="bottomLeft" state="frozen"/>
      <selection pane="bottomLeft" activeCell="C7" sqref="C7"/>
    </sheetView>
  </sheetViews>
  <sheetFormatPr defaultRowHeight="13.8" x14ac:dyDescent="0.25"/>
  <cols>
    <col min="1" max="1" width="37.8984375" customWidth="1"/>
    <col min="2" max="5" width="30.69921875" customWidth="1"/>
  </cols>
  <sheetData>
    <row r="1" spans="1:5" x14ac:dyDescent="0.25">
      <c r="A1" s="14" t="str">
        <f>IF(B1="English","Language","Ngôn ngữ")</f>
        <v>Language</v>
      </c>
      <c r="B1" s="15" t="s">
        <v>30</v>
      </c>
      <c r="C1" s="15"/>
      <c r="D1" s="16"/>
      <c r="E1" s="17"/>
    </row>
    <row r="2" spans="1:5" hidden="1" x14ac:dyDescent="0.25">
      <c r="A2" s="19" t="s">
        <v>37</v>
      </c>
      <c r="B2" s="19" t="s">
        <v>35</v>
      </c>
      <c r="C2" s="19" t="s">
        <v>48</v>
      </c>
      <c r="D2" s="19" t="s">
        <v>36</v>
      </c>
      <c r="E2" s="19" t="s">
        <v>38</v>
      </c>
    </row>
    <row r="3" spans="1:5" ht="27.6" hidden="1" x14ac:dyDescent="0.25">
      <c r="A3" s="12" t="s">
        <v>39</v>
      </c>
      <c r="B3" s="12" t="s">
        <v>42</v>
      </c>
      <c r="C3" s="12" t="s">
        <v>50</v>
      </c>
      <c r="D3" s="12" t="s">
        <v>36</v>
      </c>
      <c r="E3" s="12" t="s">
        <v>32</v>
      </c>
    </row>
    <row r="4" spans="1:5" ht="27.6" hidden="1" x14ac:dyDescent="0.25">
      <c r="A4" s="12" t="s">
        <v>40</v>
      </c>
      <c r="B4" s="12" t="s">
        <v>43</v>
      </c>
      <c r="C4" s="12" t="s">
        <v>49</v>
      </c>
      <c r="D4" s="12" t="s">
        <v>44</v>
      </c>
      <c r="E4" s="12" t="s">
        <v>32</v>
      </c>
    </row>
    <row r="5" spans="1:5" hidden="1" x14ac:dyDescent="0.25">
      <c r="A5" s="20" t="s">
        <v>41</v>
      </c>
      <c r="B5" s="20" t="s">
        <v>41</v>
      </c>
      <c r="C5" s="20" t="s">
        <v>51</v>
      </c>
      <c r="D5" s="20" t="s">
        <v>31</v>
      </c>
      <c r="E5" s="20" t="s">
        <v>31</v>
      </c>
    </row>
    <row r="6" spans="1:5" ht="96.6" x14ac:dyDescent="0.25">
      <c r="A6" s="8" t="str">
        <f>A2 &amp; CHAR(10) &amp; "------" &amp; CHAR(10) &amp; IF($B1="English", A3, A4) &amp; CHAR(10) &amp; "-----" &amp; CHAR(10) &amp; A5</f>
        <v>System Operations Name
------
Operation's name in sheet "System Operations"
-----
Select an option</v>
      </c>
      <c r="B6" s="8" t="str">
        <f t="shared" ref="B6:E6" si="0">B2 &amp; CHAR(10) &amp; "------" &amp; CHAR(10) &amp; IF($B1="English", B3, B4) &amp; CHAR(10) &amp; "-----" &amp; CHAR(10) &amp; B5</f>
        <v>System Operations Column Name
------
Column name in sheet "System Operations"
-----
Select an option</v>
      </c>
      <c r="C6" s="8" t="str">
        <f t="shared" si="0"/>
        <v>Value Convention
------
Convention of value input (camelCase, free text, ….)
-----
Automatically Display</v>
      </c>
      <c r="D6" s="8" t="str">
        <f t="shared" si="0"/>
        <v>Value
------
Value
-----
Typing</v>
      </c>
      <c r="E6" s="8" t="str">
        <f t="shared" si="0"/>
        <v>Note
------
-
-----
Typing</v>
      </c>
    </row>
    <row r="7" spans="1:5" x14ac:dyDescent="0.25">
      <c r="A7" s="6" t="s">
        <v>34</v>
      </c>
      <c r="B7" s="6" t="s">
        <v>10</v>
      </c>
      <c r="C7" s="6" t="str">
        <f>IFERROR(VLOOKUP(B7,'Master Data'!$D$5:$E$20,2,FALSE),"")</f>
        <v>camelCase</v>
      </c>
      <c r="D7" s="6"/>
      <c r="E7" s="6"/>
    </row>
    <row r="8" spans="1:5" x14ac:dyDescent="0.25">
      <c r="A8" s="6"/>
      <c r="B8" s="6"/>
      <c r="C8" s="6" t="str">
        <f>IFERROR(VLOOKUP(B8,'Master Data'!$D$5:$E$20,2,FALSE),"")</f>
        <v/>
      </c>
      <c r="D8" s="6"/>
      <c r="E8" s="6"/>
    </row>
    <row r="9" spans="1:5" x14ac:dyDescent="0.25">
      <c r="A9" s="6"/>
      <c r="B9" s="6"/>
      <c r="C9" s="6" t="str">
        <f>IFERROR(VLOOKUP(B9,'Master Data'!$D$5:$E$20,2,FALSE),"")</f>
        <v/>
      </c>
      <c r="D9" s="6"/>
      <c r="E9" s="6"/>
    </row>
    <row r="10" spans="1:5" x14ac:dyDescent="0.25">
      <c r="A10" s="6"/>
      <c r="B10" s="6"/>
      <c r="C10" s="6" t="str">
        <f>IFERROR(VLOOKUP(B10,'Master Data'!$D$5:$E$20,2,FALSE),"")</f>
        <v/>
      </c>
      <c r="D10" s="6"/>
      <c r="E10" s="6"/>
    </row>
    <row r="11" spans="1:5" x14ac:dyDescent="0.25">
      <c r="A11" s="6"/>
      <c r="B11" s="6"/>
      <c r="C11" s="6" t="str">
        <f>IFERROR(VLOOKUP(B11,'Master Data'!$D$5:$E$20,2,FALSE),"")</f>
        <v/>
      </c>
      <c r="D11" s="6"/>
      <c r="E11" s="6"/>
    </row>
    <row r="12" spans="1:5" x14ac:dyDescent="0.25">
      <c r="A12" s="6"/>
      <c r="B12" s="6"/>
      <c r="C12" s="6" t="str">
        <f>IFERROR(VLOOKUP(B12,'Master Data'!$D$5:$E$20,2,FALSE),"")</f>
        <v/>
      </c>
      <c r="D12" s="6"/>
      <c r="E12" s="6"/>
    </row>
    <row r="13" spans="1:5" x14ac:dyDescent="0.25">
      <c r="A13" s="6"/>
      <c r="B13" s="6"/>
      <c r="C13" s="6" t="str">
        <f>IFERROR(VLOOKUP(B13,'Master Data'!$D$5:$E$20,2,FALSE),"")</f>
        <v/>
      </c>
      <c r="D13" s="6"/>
      <c r="E13" s="6"/>
    </row>
    <row r="14" spans="1:5" x14ac:dyDescent="0.25">
      <c r="A14" s="6"/>
      <c r="B14" s="6"/>
      <c r="C14" s="6" t="str">
        <f>IFERROR(VLOOKUP(B14,'Master Data'!$D$5:$E$20,2,FALSE),"")</f>
        <v/>
      </c>
      <c r="D14" s="6"/>
      <c r="E14" s="6"/>
    </row>
    <row r="15" spans="1:5" x14ac:dyDescent="0.25">
      <c r="A15" s="6"/>
      <c r="B15" s="6"/>
      <c r="C15" s="6" t="str">
        <f>IFERROR(VLOOKUP(B15,'Master Data'!$D$5:$E$20,2,FALSE),"")</f>
        <v/>
      </c>
      <c r="D15" s="6"/>
      <c r="E15" s="6"/>
    </row>
    <row r="16" spans="1:5" x14ac:dyDescent="0.25">
      <c r="A16" s="6"/>
      <c r="B16" s="6"/>
      <c r="C16" s="6" t="str">
        <f>IFERROR(VLOOKUP(B16,'Master Data'!$D$5:$E$20,2,FALSE),"")</f>
        <v/>
      </c>
      <c r="D16" s="6"/>
      <c r="E16" s="6"/>
    </row>
    <row r="17" spans="1:5" x14ac:dyDescent="0.25">
      <c r="A17" s="6"/>
      <c r="B17" s="6"/>
      <c r="C17" s="6" t="str">
        <f>IFERROR(VLOOKUP(B17,'Master Data'!$D$5:$E$20,2,FALSE),"")</f>
        <v/>
      </c>
      <c r="D17" s="6"/>
      <c r="E17" s="6"/>
    </row>
    <row r="18" spans="1:5" x14ac:dyDescent="0.25">
      <c r="A18" s="6"/>
      <c r="B18" s="6"/>
      <c r="C18" s="6" t="str">
        <f>IFERROR(VLOOKUP(B18,'Master Data'!$D$5:$E$20,2,FALSE),"")</f>
        <v/>
      </c>
      <c r="D18" s="6"/>
      <c r="E18" s="6"/>
    </row>
    <row r="19" spans="1:5" x14ac:dyDescent="0.25">
      <c r="A19" s="6"/>
      <c r="B19" s="6"/>
      <c r="C19" s="6" t="str">
        <f>IFERROR(VLOOKUP(B19,'Master Data'!$D$5:$E$20,2,FALSE),"")</f>
        <v/>
      </c>
      <c r="D19" s="6"/>
      <c r="E19" s="6"/>
    </row>
    <row r="20" spans="1:5" x14ac:dyDescent="0.25">
      <c r="A20" s="6"/>
      <c r="B20" s="6"/>
      <c r="C20" s="6" t="str">
        <f>IFERROR(VLOOKUP(B20,'Master Data'!$D$5:$E$20,2,FALSE),"")</f>
        <v/>
      </c>
      <c r="D20" s="6"/>
      <c r="E20" s="6"/>
    </row>
    <row r="21" spans="1:5" x14ac:dyDescent="0.25">
      <c r="A21" s="6"/>
      <c r="B21" s="6"/>
      <c r="C21" s="6" t="str">
        <f>IFERROR(VLOOKUP(B21,'Master Data'!$D$5:$E$20,2,FALSE),"")</f>
        <v/>
      </c>
      <c r="D21" s="6"/>
      <c r="E21" s="6"/>
    </row>
    <row r="22" spans="1:5" x14ac:dyDescent="0.25">
      <c r="A22" s="6"/>
      <c r="B22" s="6"/>
      <c r="C22" s="6" t="str">
        <f>IFERROR(VLOOKUP(B22,'Master Data'!$D$5:$E$20,2,FALSE),"")</f>
        <v/>
      </c>
      <c r="D22" s="6"/>
      <c r="E22" s="6"/>
    </row>
    <row r="23" spans="1:5" x14ac:dyDescent="0.25">
      <c r="A23" s="6"/>
      <c r="B23" s="6"/>
      <c r="C23" s="6" t="str">
        <f>IFERROR(VLOOKUP(B23,'Master Data'!$D$5:$E$20,2,FALSE),"")</f>
        <v/>
      </c>
      <c r="D23" s="6"/>
      <c r="E23" s="6"/>
    </row>
    <row r="24" spans="1:5" x14ac:dyDescent="0.25">
      <c r="A24" s="6"/>
      <c r="B24" s="6"/>
      <c r="C24" s="6" t="str">
        <f>IFERROR(VLOOKUP(B24,'Master Data'!$D$5:$E$20,2,FALSE),"")</f>
        <v/>
      </c>
      <c r="D24" s="6"/>
      <c r="E24" s="6"/>
    </row>
    <row r="25" spans="1:5" x14ac:dyDescent="0.25">
      <c r="A25" s="6"/>
      <c r="B25" s="6"/>
      <c r="C25" s="6" t="str">
        <f>IFERROR(VLOOKUP(B25,'Master Data'!$D$5:$E$20,2,FALSE),"")</f>
        <v/>
      </c>
      <c r="D25" s="6"/>
      <c r="E25" s="6"/>
    </row>
    <row r="26" spans="1:5" x14ac:dyDescent="0.25">
      <c r="A26" s="6"/>
      <c r="B26" s="6"/>
      <c r="C26" s="6" t="str">
        <f>IFERROR(VLOOKUP(B26,'Master Data'!$D$5:$E$20,2,FALSE),"")</f>
        <v/>
      </c>
      <c r="D26" s="6"/>
      <c r="E26" s="6"/>
    </row>
    <row r="27" spans="1:5" x14ac:dyDescent="0.25">
      <c r="A27" s="6"/>
      <c r="B27" s="6"/>
      <c r="C27" s="6" t="str">
        <f>IFERROR(VLOOKUP(B27,'Master Data'!$D$5:$E$20,2,FALSE),"")</f>
        <v/>
      </c>
      <c r="D27" s="6"/>
      <c r="E27" s="6"/>
    </row>
    <row r="28" spans="1:5" x14ac:dyDescent="0.25">
      <c r="A28" s="6"/>
      <c r="B28" s="6"/>
      <c r="C28" s="6" t="str">
        <f>IFERROR(VLOOKUP(B28,'Master Data'!$D$5:$E$20,2,FALSE),"")</f>
        <v/>
      </c>
      <c r="D28" s="6"/>
      <c r="E28" s="6"/>
    </row>
    <row r="29" spans="1:5" x14ac:dyDescent="0.25">
      <c r="A29" s="6"/>
      <c r="B29" s="6"/>
      <c r="C29" s="6" t="str">
        <f>IFERROR(VLOOKUP(B29,'Master Data'!$D$5:$E$20,2,FALSE),"")</f>
        <v/>
      </c>
      <c r="D29" s="6"/>
      <c r="E29" s="6"/>
    </row>
    <row r="30" spans="1:5" x14ac:dyDescent="0.25">
      <c r="A30" s="6"/>
      <c r="B30" s="6"/>
      <c r="C30" s="6" t="str">
        <f>IFERROR(VLOOKUP(B30,'Master Data'!$D$5:$E$20,2,FALSE),"")</f>
        <v/>
      </c>
      <c r="D30" s="6"/>
      <c r="E30" s="6"/>
    </row>
    <row r="31" spans="1:5" x14ac:dyDescent="0.25">
      <c r="A31" s="6"/>
      <c r="B31" s="6"/>
      <c r="C31" s="6" t="str">
        <f>IFERROR(VLOOKUP(B31,'Master Data'!$D$5:$E$20,2,FALSE),"")</f>
        <v/>
      </c>
      <c r="D31" s="6"/>
      <c r="E31" s="6"/>
    </row>
    <row r="32" spans="1:5" x14ac:dyDescent="0.25">
      <c r="A32" s="6"/>
      <c r="B32" s="6"/>
      <c r="C32" s="6" t="str">
        <f>IFERROR(VLOOKUP(B32,'Master Data'!$D$5:$E$20,2,FALSE),"")</f>
        <v/>
      </c>
      <c r="D32" s="6"/>
      <c r="E32" s="6"/>
    </row>
    <row r="33" spans="1:5" x14ac:dyDescent="0.25">
      <c r="A33" s="6"/>
      <c r="B33" s="6"/>
      <c r="C33" s="6" t="str">
        <f>IFERROR(VLOOKUP(B33,'Master Data'!$D$5:$E$20,2,FALSE),"")</f>
        <v/>
      </c>
      <c r="D33" s="6"/>
      <c r="E33" s="6"/>
    </row>
    <row r="34" spans="1:5" x14ac:dyDescent="0.25">
      <c r="A34" s="6"/>
      <c r="B34" s="6"/>
      <c r="C34" s="6" t="str">
        <f>IFERROR(VLOOKUP(B34,'Master Data'!$D$5:$E$20,2,FALSE),"")</f>
        <v/>
      </c>
      <c r="D34" s="6"/>
      <c r="E34" s="6"/>
    </row>
    <row r="35" spans="1:5" x14ac:dyDescent="0.25">
      <c r="A35" s="6"/>
      <c r="B35" s="6"/>
      <c r="C35" s="6" t="str">
        <f>IFERROR(VLOOKUP(B35,'Master Data'!$D$5:$E$20,2,FALSE),"")</f>
        <v/>
      </c>
      <c r="D35" s="6"/>
      <c r="E35" s="6"/>
    </row>
    <row r="36" spans="1:5" x14ac:dyDescent="0.25">
      <c r="A36" s="6"/>
      <c r="B36" s="6"/>
      <c r="C36" s="6" t="str">
        <f>IFERROR(VLOOKUP(B36,'Master Data'!$D$5:$E$20,2,FALSE),"")</f>
        <v/>
      </c>
      <c r="D36" s="6"/>
      <c r="E36" s="6"/>
    </row>
    <row r="37" spans="1:5" x14ac:dyDescent="0.25">
      <c r="A37" s="6"/>
      <c r="B37" s="6"/>
      <c r="C37" s="6" t="str">
        <f>IFERROR(VLOOKUP(B37,'Master Data'!$D$5:$E$20,2,FALSE),"")</f>
        <v/>
      </c>
      <c r="D37" s="6"/>
      <c r="E37" s="6"/>
    </row>
    <row r="38" spans="1:5" x14ac:dyDescent="0.25">
      <c r="A38" s="6"/>
      <c r="B38" s="6"/>
      <c r="C38" s="6" t="str">
        <f>IFERROR(VLOOKUP(B38,'Master Data'!$D$5:$E$20,2,FALSE),"")</f>
        <v/>
      </c>
      <c r="D38" s="6"/>
      <c r="E38" s="6"/>
    </row>
    <row r="39" spans="1:5" x14ac:dyDescent="0.25">
      <c r="A39" s="6"/>
      <c r="B39" s="6"/>
      <c r="C39" s="6" t="str">
        <f>IFERROR(VLOOKUP(B39,'Master Data'!$D$5:$E$20,2,FALSE),"")</f>
        <v/>
      </c>
      <c r="D39" s="6"/>
      <c r="E39" s="6"/>
    </row>
    <row r="40" spans="1:5" x14ac:dyDescent="0.25">
      <c r="A40" s="6"/>
      <c r="B40" s="6"/>
      <c r="C40" s="6" t="str">
        <f>IFERROR(VLOOKUP(B40,'Master Data'!$D$5:$E$20,2,FALSE),"")</f>
        <v/>
      </c>
      <c r="D40" s="6"/>
      <c r="E40" s="6"/>
    </row>
    <row r="41" spans="1:5" x14ac:dyDescent="0.25">
      <c r="A41" s="6"/>
      <c r="B41" s="6"/>
      <c r="C41" s="6" t="str">
        <f>IFERROR(VLOOKUP(B41,'Master Data'!$D$5:$E$20,2,FALSE),"")</f>
        <v/>
      </c>
      <c r="D41" s="6"/>
      <c r="E41" s="6"/>
    </row>
    <row r="42" spans="1:5" x14ac:dyDescent="0.25">
      <c r="A42" s="6"/>
      <c r="B42" s="6"/>
      <c r="C42" s="6" t="str">
        <f>IFERROR(VLOOKUP(B42,'Master Data'!$D$5:$E$20,2,FALSE),"")</f>
        <v/>
      </c>
      <c r="D42" s="6"/>
      <c r="E42" s="6"/>
    </row>
    <row r="43" spans="1:5" x14ac:dyDescent="0.25">
      <c r="A43" s="6"/>
      <c r="B43" s="6"/>
      <c r="C43" s="6" t="str">
        <f>IFERROR(VLOOKUP(B43,'Master Data'!$D$5:$E$20,2,FALSE),"")</f>
        <v/>
      </c>
      <c r="D43" s="6"/>
      <c r="E43" s="6"/>
    </row>
    <row r="44" spans="1:5" x14ac:dyDescent="0.25">
      <c r="A44" s="6"/>
      <c r="B44" s="6"/>
      <c r="C44" s="6" t="str">
        <f>IFERROR(VLOOKUP(B44,'Master Data'!$D$5:$E$20,2,FALSE),"")</f>
        <v/>
      </c>
      <c r="D44" s="6"/>
      <c r="E44" s="6"/>
    </row>
    <row r="45" spans="1:5" x14ac:dyDescent="0.25">
      <c r="A45" s="6"/>
      <c r="B45" s="6"/>
      <c r="C45" s="6" t="str">
        <f>IFERROR(VLOOKUP(B45,'Master Data'!$D$5:$E$20,2,FALSE),"")</f>
        <v/>
      </c>
      <c r="D45" s="6"/>
      <c r="E45" s="6"/>
    </row>
    <row r="46" spans="1:5" x14ac:dyDescent="0.25">
      <c r="A46" s="6"/>
      <c r="B46" s="6"/>
      <c r="C46" s="6" t="str">
        <f>IFERROR(VLOOKUP(B46,'Master Data'!$D$5:$E$20,2,FALSE),"")</f>
        <v/>
      </c>
      <c r="D46" s="6"/>
      <c r="E46" s="6"/>
    </row>
    <row r="47" spans="1:5" x14ac:dyDescent="0.25">
      <c r="A47" s="6"/>
      <c r="B47" s="6"/>
      <c r="C47" s="6" t="str">
        <f>IFERROR(VLOOKUP(B47,'Master Data'!$D$5:$E$20,2,FALSE),"")</f>
        <v/>
      </c>
      <c r="D47" s="6"/>
      <c r="E47" s="6"/>
    </row>
    <row r="48" spans="1:5" x14ac:dyDescent="0.25">
      <c r="A48" s="6"/>
      <c r="B48" s="6"/>
      <c r="C48" s="6" t="str">
        <f>IFERROR(VLOOKUP(B48,'Master Data'!$D$5:$E$20,2,FALSE),"")</f>
        <v/>
      </c>
      <c r="D48" s="6"/>
      <c r="E48" s="6"/>
    </row>
    <row r="49" spans="1:5" x14ac:dyDescent="0.25">
      <c r="A49" s="6"/>
      <c r="B49" s="6"/>
      <c r="C49" s="6" t="str">
        <f>IFERROR(VLOOKUP(B49,'Master Data'!$D$5:$E$20,2,FALSE),"")</f>
        <v/>
      </c>
      <c r="D49" s="6"/>
      <c r="E49" s="6"/>
    </row>
    <row r="50" spans="1:5" x14ac:dyDescent="0.25">
      <c r="A50" s="6"/>
      <c r="B50" s="6"/>
      <c r="C50" s="6" t="str">
        <f>IFERROR(VLOOKUP(B50,'Master Data'!$D$5:$E$20,2,FALSE),"")</f>
        <v/>
      </c>
      <c r="D50" s="6"/>
      <c r="E50" s="6"/>
    </row>
    <row r="51" spans="1:5" x14ac:dyDescent="0.25">
      <c r="A51" s="6"/>
      <c r="B51" s="6"/>
      <c r="C51" s="6" t="str">
        <f>IFERROR(VLOOKUP(B51,'Master Data'!$D$5:$E$20,2,FALSE),"")</f>
        <v/>
      </c>
      <c r="D51" s="6"/>
      <c r="E51" s="6"/>
    </row>
    <row r="52" spans="1:5" x14ac:dyDescent="0.25">
      <c r="A52" s="6"/>
      <c r="B52" s="6"/>
      <c r="C52" s="6" t="str">
        <f>IFERROR(VLOOKUP(B52,'Master Data'!$D$5:$E$20,2,FALSE),"")</f>
        <v/>
      </c>
      <c r="D52" s="6"/>
      <c r="E52" s="6"/>
    </row>
    <row r="53" spans="1:5" x14ac:dyDescent="0.25">
      <c r="A53" s="6"/>
      <c r="B53" s="6"/>
      <c r="C53" s="6" t="str">
        <f>IFERROR(VLOOKUP(B53,'Master Data'!$D$5:$E$20,2,FALSE),"")</f>
        <v/>
      </c>
      <c r="D53" s="6"/>
      <c r="E53" s="6"/>
    </row>
    <row r="54" spans="1:5" x14ac:dyDescent="0.25">
      <c r="A54" s="6"/>
      <c r="B54" s="6"/>
      <c r="C54" s="6" t="str">
        <f>IFERROR(VLOOKUP(B54,'Master Data'!$D$5:$E$20,2,FALSE),"")</f>
        <v/>
      </c>
      <c r="D54" s="6"/>
      <c r="E54" s="6"/>
    </row>
    <row r="55" spans="1:5" x14ac:dyDescent="0.25">
      <c r="A55" s="6"/>
      <c r="B55" s="6"/>
      <c r="C55" s="6" t="str">
        <f>IFERROR(VLOOKUP(B55,'Master Data'!$D$5:$E$20,2,FALSE),"")</f>
        <v/>
      </c>
      <c r="D55" s="6"/>
      <c r="E55" s="6"/>
    </row>
    <row r="56" spans="1:5" x14ac:dyDescent="0.25">
      <c r="A56" s="6"/>
      <c r="B56" s="6"/>
      <c r="C56" s="6" t="str">
        <f>IFERROR(VLOOKUP(B56,'Master Data'!$D$5:$E$20,2,FALSE),"")</f>
        <v/>
      </c>
      <c r="D56" s="6"/>
      <c r="E56" s="6"/>
    </row>
    <row r="57" spans="1:5" x14ac:dyDescent="0.25">
      <c r="A57" s="6"/>
      <c r="B57" s="6"/>
      <c r="C57" s="6" t="str">
        <f>IFERROR(VLOOKUP(B57,'Master Data'!$D$5:$E$20,2,FALSE),"")</f>
        <v/>
      </c>
      <c r="D57" s="6"/>
      <c r="E57" s="6"/>
    </row>
    <row r="58" spans="1:5" x14ac:dyDescent="0.25">
      <c r="A58" s="6"/>
      <c r="B58" s="6"/>
      <c r="C58" s="6" t="str">
        <f>IFERROR(VLOOKUP(B58,'Master Data'!$D$5:$E$20,2,FALSE),"")</f>
        <v/>
      </c>
      <c r="D58" s="6"/>
      <c r="E58" s="6"/>
    </row>
    <row r="59" spans="1:5" x14ac:dyDescent="0.25">
      <c r="A59" s="6"/>
      <c r="B59" s="6"/>
      <c r="C59" s="6" t="str">
        <f>IFERROR(VLOOKUP(B59,'Master Data'!$D$5:$E$20,2,FALSE),"")</f>
        <v/>
      </c>
      <c r="D59" s="6"/>
      <c r="E59" s="6"/>
    </row>
    <row r="60" spans="1:5" x14ac:dyDescent="0.25">
      <c r="A60" s="6"/>
      <c r="B60" s="6"/>
      <c r="C60" s="6" t="str">
        <f>IFERROR(VLOOKUP(B60,'Master Data'!$D$5:$E$20,2,FALSE),"")</f>
        <v/>
      </c>
      <c r="D60" s="6"/>
      <c r="E60" s="6"/>
    </row>
    <row r="61" spans="1:5" x14ac:dyDescent="0.25">
      <c r="A61" s="6"/>
      <c r="B61" s="6"/>
      <c r="C61" s="6" t="str">
        <f>IFERROR(VLOOKUP(B61,'Master Data'!$D$5:$E$20,2,FALSE),"")</f>
        <v/>
      </c>
      <c r="D61" s="6"/>
      <c r="E61" s="6"/>
    </row>
    <row r="62" spans="1:5" x14ac:dyDescent="0.25">
      <c r="A62" s="6"/>
      <c r="B62" s="6"/>
      <c r="C62" s="6" t="str">
        <f>IFERROR(VLOOKUP(B62,'Master Data'!$D$5:$E$20,2,FALSE),"")</f>
        <v/>
      </c>
      <c r="D62" s="6"/>
      <c r="E62" s="6"/>
    </row>
    <row r="63" spans="1:5" x14ac:dyDescent="0.25">
      <c r="A63" s="6"/>
      <c r="B63" s="6"/>
      <c r="C63" s="6" t="str">
        <f>IFERROR(VLOOKUP(B63,'Master Data'!$D$5:$E$20,2,FALSE),"")</f>
        <v/>
      </c>
      <c r="D63" s="6"/>
      <c r="E63" s="6"/>
    </row>
    <row r="64" spans="1:5" x14ac:dyDescent="0.25">
      <c r="A64" s="6"/>
      <c r="B64" s="6"/>
      <c r="C64" s="6" t="str">
        <f>IFERROR(VLOOKUP(B64,'Master Data'!$D$5:$E$20,2,FALSE),"")</f>
        <v/>
      </c>
      <c r="D64" s="6"/>
      <c r="E64" s="6"/>
    </row>
    <row r="65" spans="1:5" x14ac:dyDescent="0.25">
      <c r="A65" s="6"/>
      <c r="B65" s="6"/>
      <c r="C65" s="6" t="str">
        <f>IFERROR(VLOOKUP(B65,'Master Data'!$D$5:$E$20,2,FALSE),"")</f>
        <v/>
      </c>
      <c r="D65" s="6"/>
      <c r="E65" s="6"/>
    </row>
    <row r="66" spans="1:5" x14ac:dyDescent="0.25">
      <c r="A66" s="6"/>
      <c r="B66" s="6"/>
      <c r="C66" s="6" t="str">
        <f>IFERROR(VLOOKUP(B66,'Master Data'!$D$5:$E$20,2,FALSE),"")</f>
        <v/>
      </c>
      <c r="D66" s="6"/>
      <c r="E66" s="6"/>
    </row>
    <row r="67" spans="1:5" x14ac:dyDescent="0.25">
      <c r="A67" s="6"/>
      <c r="B67" s="6"/>
      <c r="C67" s="6" t="str">
        <f>IFERROR(VLOOKUP(B67,'Master Data'!$D$5:$E$20,2,FALSE),"")</f>
        <v/>
      </c>
      <c r="D67" s="6"/>
      <c r="E67" s="6"/>
    </row>
    <row r="68" spans="1:5" x14ac:dyDescent="0.25">
      <c r="A68" s="6"/>
      <c r="B68" s="6"/>
      <c r="C68" s="6" t="str">
        <f>IFERROR(VLOOKUP(B68,'Master Data'!$D$5:$E$20,2,FALSE),"")</f>
        <v/>
      </c>
      <c r="D68" s="6"/>
      <c r="E68" s="6"/>
    </row>
    <row r="69" spans="1:5" x14ac:dyDescent="0.25">
      <c r="A69" s="6"/>
      <c r="B69" s="6"/>
      <c r="C69" s="6" t="str">
        <f>IFERROR(VLOOKUP(B69,'Master Data'!$D$5:$E$20,2,FALSE),"")</f>
        <v/>
      </c>
      <c r="D69" s="6"/>
      <c r="E69" s="6"/>
    </row>
    <row r="70" spans="1:5" x14ac:dyDescent="0.25">
      <c r="A70" s="6"/>
      <c r="B70" s="6"/>
      <c r="C70" s="6" t="str">
        <f>IFERROR(VLOOKUP(B70,'Master Data'!$D$5:$E$20,2,FALSE),"")</f>
        <v/>
      </c>
      <c r="D70" s="6"/>
      <c r="E70" s="6"/>
    </row>
    <row r="71" spans="1:5" x14ac:dyDescent="0.25">
      <c r="A71" s="6"/>
      <c r="B71" s="6"/>
      <c r="C71" s="6" t="str">
        <f>IFERROR(VLOOKUP(B71,'Master Data'!$D$5:$E$20,2,FALSE),"")</f>
        <v/>
      </c>
      <c r="D71" s="6"/>
      <c r="E71" s="6"/>
    </row>
    <row r="72" spans="1:5" x14ac:dyDescent="0.25">
      <c r="A72" s="6"/>
      <c r="B72" s="6"/>
      <c r="C72" s="6" t="str">
        <f>IFERROR(VLOOKUP(B72,'Master Data'!$D$5:$E$20,2,FALSE),"")</f>
        <v/>
      </c>
      <c r="D72" s="6"/>
      <c r="E72" s="6"/>
    </row>
    <row r="73" spans="1:5" x14ac:dyDescent="0.25">
      <c r="A73" s="6"/>
      <c r="B73" s="6"/>
      <c r="C73" s="6" t="str">
        <f>IFERROR(VLOOKUP(B73,'Master Data'!$D$5:$E$20,2,FALSE),"")</f>
        <v/>
      </c>
      <c r="D73" s="6"/>
      <c r="E73" s="6"/>
    </row>
    <row r="74" spans="1:5" x14ac:dyDescent="0.25">
      <c r="A74" s="6"/>
      <c r="B74" s="6"/>
      <c r="C74" s="6" t="str">
        <f>IFERROR(VLOOKUP(B74,'Master Data'!$D$5:$E$20,2,FALSE),"")</f>
        <v/>
      </c>
      <c r="D74" s="6"/>
      <c r="E74" s="6"/>
    </row>
    <row r="75" spans="1:5" x14ac:dyDescent="0.25">
      <c r="A75" s="6"/>
      <c r="B75" s="6"/>
      <c r="C75" s="6" t="str">
        <f>IFERROR(VLOOKUP(B75,'Master Data'!$D$5:$E$20,2,FALSE),"")</f>
        <v/>
      </c>
      <c r="D75" s="6"/>
      <c r="E75" s="6"/>
    </row>
    <row r="76" spans="1:5" x14ac:dyDescent="0.25">
      <c r="A76" s="6"/>
      <c r="B76" s="6"/>
      <c r="C76" s="6" t="str">
        <f>IFERROR(VLOOKUP(B76,'Master Data'!$D$5:$E$20,2,FALSE),"")</f>
        <v/>
      </c>
      <c r="D76" s="6"/>
      <c r="E76" s="6"/>
    </row>
    <row r="77" spans="1:5" x14ac:dyDescent="0.25">
      <c r="A77" s="6"/>
      <c r="B77" s="6"/>
      <c r="C77" s="6" t="str">
        <f>IFERROR(VLOOKUP(B77,'Master Data'!$D$5:$E$20,2,FALSE),"")</f>
        <v/>
      </c>
      <c r="D77" s="6"/>
      <c r="E77" s="6"/>
    </row>
    <row r="78" spans="1:5" x14ac:dyDescent="0.25">
      <c r="A78" s="6"/>
      <c r="B78" s="6"/>
      <c r="C78" s="6" t="str">
        <f>IFERROR(VLOOKUP(B78,'Master Data'!$D$5:$E$20,2,FALSE),"")</f>
        <v/>
      </c>
      <c r="D78" s="6"/>
      <c r="E78" s="6"/>
    </row>
    <row r="79" spans="1:5" x14ac:dyDescent="0.25">
      <c r="A79" s="6"/>
      <c r="B79" s="6"/>
      <c r="C79" s="6" t="str">
        <f>IFERROR(VLOOKUP(B79,'Master Data'!$D$5:$E$20,2,FALSE),"")</f>
        <v/>
      </c>
      <c r="D79" s="6"/>
      <c r="E79" s="6"/>
    </row>
    <row r="80" spans="1:5" x14ac:dyDescent="0.25">
      <c r="A80" s="6"/>
      <c r="B80" s="6"/>
      <c r="C80" s="6" t="str">
        <f>IFERROR(VLOOKUP(B80,'Master Data'!$D$5:$E$20,2,FALSE),"")</f>
        <v/>
      </c>
      <c r="D80" s="6"/>
      <c r="E80" s="6"/>
    </row>
    <row r="81" spans="1:5" x14ac:dyDescent="0.25">
      <c r="A81" s="6"/>
      <c r="B81" s="6"/>
      <c r="C81" s="6" t="str">
        <f>IFERROR(VLOOKUP(B81,'Master Data'!$D$5:$E$20,2,FALSE),"")</f>
        <v/>
      </c>
      <c r="D81" s="6"/>
      <c r="E81" s="6"/>
    </row>
    <row r="82" spans="1:5" x14ac:dyDescent="0.25">
      <c r="A82" s="6"/>
      <c r="B82" s="6"/>
      <c r="C82" s="6" t="str">
        <f>IFERROR(VLOOKUP(B82,'Master Data'!$D$5:$E$20,2,FALSE),"")</f>
        <v/>
      </c>
      <c r="D82" s="6"/>
      <c r="E82" s="6"/>
    </row>
    <row r="83" spans="1:5" x14ac:dyDescent="0.25">
      <c r="A83" s="6"/>
      <c r="B83" s="6"/>
      <c r="C83" s="6" t="str">
        <f>IFERROR(VLOOKUP(B83,'Master Data'!$D$5:$E$20,2,FALSE),"")</f>
        <v/>
      </c>
      <c r="D83" s="6"/>
      <c r="E83" s="6"/>
    </row>
    <row r="84" spans="1:5" x14ac:dyDescent="0.25">
      <c r="A84" s="6"/>
      <c r="B84" s="6"/>
      <c r="C84" s="6" t="str">
        <f>IFERROR(VLOOKUP(B84,'Master Data'!$D$5:$E$20,2,FALSE),"")</f>
        <v/>
      </c>
      <c r="D84" s="6"/>
      <c r="E84" s="6"/>
    </row>
    <row r="85" spans="1:5" x14ac:dyDescent="0.25">
      <c r="A85" s="6"/>
      <c r="B85" s="6"/>
      <c r="C85" s="6" t="str">
        <f>IFERROR(VLOOKUP(B85,'Master Data'!$D$5:$E$20,2,FALSE),"")</f>
        <v/>
      </c>
      <c r="D85" s="6"/>
      <c r="E85" s="6"/>
    </row>
    <row r="86" spans="1:5" x14ac:dyDescent="0.25">
      <c r="A86" s="6"/>
      <c r="B86" s="6"/>
      <c r="C86" s="6" t="str">
        <f>IFERROR(VLOOKUP(B86,'Master Data'!$D$5:$E$20,2,FALSE),"")</f>
        <v/>
      </c>
      <c r="D86" s="6"/>
      <c r="E86" s="6"/>
    </row>
    <row r="87" spans="1:5" x14ac:dyDescent="0.25">
      <c r="A87" s="6"/>
      <c r="B87" s="6"/>
      <c r="C87" s="6" t="str">
        <f>IFERROR(VLOOKUP(B87,'Master Data'!$D$5:$E$20,2,FALSE),"")</f>
        <v/>
      </c>
      <c r="D87" s="6"/>
      <c r="E87" s="6"/>
    </row>
    <row r="88" spans="1:5" x14ac:dyDescent="0.25">
      <c r="A88" s="6"/>
      <c r="B88" s="6"/>
      <c r="C88" s="6" t="str">
        <f>IFERROR(VLOOKUP(B88,'Master Data'!$D$5:$E$20,2,FALSE),"")</f>
        <v/>
      </c>
      <c r="D88" s="6"/>
      <c r="E88" s="6"/>
    </row>
    <row r="89" spans="1:5" x14ac:dyDescent="0.25">
      <c r="A89" s="6"/>
      <c r="B89" s="6"/>
      <c r="C89" s="6" t="str">
        <f>IFERROR(VLOOKUP(B89,'Master Data'!$D$5:$E$20,2,FALSE),"")</f>
        <v/>
      </c>
      <c r="D89" s="6"/>
      <c r="E89" s="6"/>
    </row>
    <row r="90" spans="1:5" x14ac:dyDescent="0.25">
      <c r="A90" s="6"/>
      <c r="B90" s="6"/>
      <c r="C90" s="6" t="str">
        <f>IFERROR(VLOOKUP(B90,'Master Data'!$D$5:$E$20,2,FALSE),"")</f>
        <v/>
      </c>
      <c r="D90" s="6"/>
      <c r="E90" s="6"/>
    </row>
    <row r="91" spans="1:5" x14ac:dyDescent="0.25">
      <c r="A91" s="6"/>
      <c r="B91" s="6"/>
      <c r="C91" s="6" t="str">
        <f>IFERROR(VLOOKUP(B91,'Master Data'!$D$5:$E$20,2,FALSE),"")</f>
        <v/>
      </c>
      <c r="D91" s="6"/>
      <c r="E91" s="6"/>
    </row>
    <row r="92" spans="1:5" x14ac:dyDescent="0.25">
      <c r="A92" s="6"/>
      <c r="B92" s="6"/>
      <c r="C92" s="6" t="str">
        <f>IFERROR(VLOOKUP(B92,'Master Data'!$D$5:$E$20,2,FALSE),"")</f>
        <v/>
      </c>
      <c r="D92" s="6"/>
      <c r="E92" s="6"/>
    </row>
    <row r="93" spans="1:5" x14ac:dyDescent="0.25">
      <c r="A93" s="6"/>
      <c r="B93" s="6"/>
      <c r="C93" s="6" t="str">
        <f>IFERROR(VLOOKUP(B93,'Master Data'!$D$5:$E$20,2,FALSE),"")</f>
        <v/>
      </c>
      <c r="D93" s="6"/>
      <c r="E93" s="6"/>
    </row>
    <row r="94" spans="1:5" x14ac:dyDescent="0.25">
      <c r="A94" s="6"/>
      <c r="B94" s="6"/>
      <c r="C94" s="6" t="str">
        <f>IFERROR(VLOOKUP(B94,'Master Data'!$D$5:$E$20,2,FALSE),"")</f>
        <v/>
      </c>
      <c r="D94" s="6"/>
      <c r="E94" s="6"/>
    </row>
    <row r="95" spans="1:5" x14ac:dyDescent="0.25">
      <c r="A95" s="6"/>
      <c r="B95" s="6"/>
      <c r="C95" s="6" t="str">
        <f>IFERROR(VLOOKUP(B95,'Master Data'!$D$5:$E$20,2,FALSE),"")</f>
        <v/>
      </c>
      <c r="D95" s="6"/>
      <c r="E95" s="6"/>
    </row>
    <row r="96" spans="1:5" x14ac:dyDescent="0.25">
      <c r="A96" s="6"/>
      <c r="B96" s="6"/>
      <c r="C96" s="6" t="str">
        <f>IFERROR(VLOOKUP(B96,'Master Data'!$D$5:$E$20,2,FALSE),"")</f>
        <v/>
      </c>
      <c r="D96" s="6"/>
      <c r="E96" s="6"/>
    </row>
    <row r="97" spans="1:5" x14ac:dyDescent="0.25">
      <c r="A97" s="6"/>
      <c r="B97" s="6"/>
      <c r="C97" s="6" t="str">
        <f>IFERROR(VLOOKUP(B97,'Master Data'!$D$5:$E$20,2,FALSE),"")</f>
        <v/>
      </c>
      <c r="D97" s="6"/>
      <c r="E97" s="6"/>
    </row>
    <row r="98" spans="1:5" x14ac:dyDescent="0.25">
      <c r="A98" s="6"/>
      <c r="B98" s="6"/>
      <c r="C98" s="6" t="str">
        <f>IFERROR(VLOOKUP(B98,'Master Data'!$D$5:$E$20,2,FALSE),"")</f>
        <v/>
      </c>
      <c r="D98" s="6"/>
      <c r="E98" s="6"/>
    </row>
    <row r="99" spans="1:5" x14ac:dyDescent="0.25">
      <c r="A99" s="6"/>
      <c r="B99" s="6"/>
      <c r="C99" s="6" t="str">
        <f>IFERROR(VLOOKUP(B99,'Master Data'!$D$5:$E$20,2,FALSE),"")</f>
        <v/>
      </c>
      <c r="D99" s="6"/>
      <c r="E99" s="6"/>
    </row>
    <row r="100" spans="1:5" x14ac:dyDescent="0.25">
      <c r="A100" s="6"/>
      <c r="B100" s="6"/>
      <c r="C100" s="6" t="str">
        <f>IFERROR(VLOOKUP(B100,'Master Data'!$D$5:$E$20,2,FALSE),"")</f>
        <v/>
      </c>
      <c r="D100" s="6"/>
      <c r="E100" s="6"/>
    </row>
    <row r="101" spans="1:5" x14ac:dyDescent="0.25">
      <c r="A101" t="s">
        <v>32</v>
      </c>
      <c r="B101" t="s">
        <v>32</v>
      </c>
      <c r="C101" t="s">
        <v>32</v>
      </c>
      <c r="D101" t="s">
        <v>32</v>
      </c>
      <c r="E101" t="s">
        <v>32</v>
      </c>
    </row>
  </sheetData>
  <dataValidations count="4">
    <dataValidation type="list" showInputMessage="1" showErrorMessage="1" sqref="B1:C1" xr:uid="{C28A0BB9-5384-4E21-92F4-F4545CE35040}">
      <formula1>"English,Tiếng Việt"</formula1>
    </dataValidation>
    <dataValidation type="list" showInputMessage="1" showErrorMessage="1" sqref="B7:B100" xr:uid="{49024AC2-9722-41E1-85AD-1571C6AC154A}">
      <formula1>System_Operations_Columns</formula1>
    </dataValidation>
    <dataValidation type="list" showInputMessage="1" showErrorMessage="1" sqref="A7:A100" xr:uid="{A8847766-9537-488F-9652-C025DC6B197F}">
      <formula1>System_Operations</formula1>
    </dataValidation>
    <dataValidation showInputMessage="1" showErrorMessage="1" sqref="C7:C100" xr:uid="{A54A968A-B512-4BA4-9F49-01DEEC186E12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51D7-5059-49BA-A4AF-7CA76D5C5843}">
  <dimension ref="A3"/>
  <sheetViews>
    <sheetView workbookViewId="0"/>
  </sheetViews>
  <sheetFormatPr defaultColWidth="30.69921875" defaultRowHeight="13.8" x14ac:dyDescent="0.25"/>
  <cols>
    <col min="1" max="1" width="34.796875" customWidth="1"/>
    <col min="4" max="4" width="35.19921875" customWidth="1"/>
  </cols>
  <sheetData>
    <row r="3" s="5" customFormat="1" ht="28.8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B5837-F29B-4E8C-84FA-F264072B72E9}">
  <dimension ref="A1:GY20"/>
  <sheetViews>
    <sheetView topLeftCell="C1" zoomScaleNormal="100" workbookViewId="0">
      <selection activeCell="D7" sqref="D7"/>
    </sheetView>
  </sheetViews>
  <sheetFormatPr defaultRowHeight="13.8" x14ac:dyDescent="0.25"/>
  <cols>
    <col min="1" max="1" width="20.09765625" style="1" bestFit="1" customWidth="1"/>
    <col min="2" max="2" width="29.3984375" style="1" customWidth="1"/>
    <col min="3" max="3" width="8.796875" style="1"/>
    <col min="4" max="4" width="28.69921875" style="1" bestFit="1" customWidth="1"/>
    <col min="5" max="5" width="31.5" style="1" bestFit="1" customWidth="1"/>
    <col min="6" max="6" width="8.796875" style="1"/>
    <col min="7" max="7" width="6.5" style="1" customWidth="1"/>
    <col min="8" max="8" width="21.19921875" style="1" bestFit="1" customWidth="1"/>
    <col min="9" max="9" width="25.3984375" style="1" bestFit="1" customWidth="1"/>
    <col min="10" max="10" width="75.5" style="1" bestFit="1" customWidth="1"/>
    <col min="11" max="16384" width="8.796875" style="1"/>
  </cols>
  <sheetData>
    <row r="1" spans="1:207" x14ac:dyDescent="0.25">
      <c r="A1" s="1" t="s">
        <v>8</v>
      </c>
    </row>
    <row r="2" spans="1:207" x14ac:dyDescent="0.25">
      <c r="A2" s="4" t="str">
        <f>A1 &amp; "-0"</f>
        <v>MD-0</v>
      </c>
      <c r="D2" s="4" t="str">
        <f>IF(D3&lt;&gt;"", $A$1 &amp; "-" &amp; COUNTIF($D3:D3, "&lt;&gt;"), "")</f>
        <v>MD-1</v>
      </c>
      <c r="E2" s="4" t="str">
        <f>IF(E3&lt;&gt;"", $A$1 &amp; "-" &amp; COUNTIF($D3:E3, "&lt;&gt;"), "")</f>
        <v/>
      </c>
      <c r="F2" s="4" t="str">
        <f>IF(F3&lt;&gt;"", $A$1 &amp; "-" &amp; COUNTIF($D3:F3, "&lt;&gt;"), "")</f>
        <v/>
      </c>
      <c r="G2" s="4" t="str">
        <f>IF(G3&lt;&gt;"", $A$1 &amp; "-" &amp; COUNTIF($D3:G3, "&lt;&gt;"), "")</f>
        <v>MD-2</v>
      </c>
      <c r="H2" s="4" t="str">
        <f>IF(H3&lt;&gt;"", $A$1 &amp; "-" &amp; COUNTIF($D3:H3, "&lt;&gt;"), "")</f>
        <v/>
      </c>
      <c r="I2" s="4" t="str">
        <f>IF(I3&lt;&gt;"", $A$1 &amp; "-" &amp; COUNTIF($D3:I3, "&lt;&gt;"), "")</f>
        <v/>
      </c>
      <c r="J2" s="4" t="str">
        <f>IF(J3&lt;&gt;"", $A$1 &amp; "-" &amp; COUNTIF($D3:J3, "&lt;&gt;"), "")</f>
        <v/>
      </c>
      <c r="K2" s="4" t="str">
        <f>IF(K3&lt;&gt;"", $A$1 &amp; "-" &amp; COUNTIF($D3:K3, "&lt;&gt;"), "")</f>
        <v/>
      </c>
      <c r="L2" s="4" t="str">
        <f>IF(L3&lt;&gt;"", $A$1 &amp; "-" &amp; COUNTIF($D3:L3, "&lt;&gt;"), "")</f>
        <v/>
      </c>
      <c r="M2" s="4" t="str">
        <f>IF(M3&lt;&gt;"", $A$1 &amp; "-" &amp; COUNTIF($D3:M3, "&lt;&gt;"), "")</f>
        <v/>
      </c>
      <c r="N2" s="4" t="str">
        <f>IF(N3&lt;&gt;"", $A$1 &amp; "-" &amp; COUNTIF($D3:N3, "&lt;&gt;"), "")</f>
        <v/>
      </c>
      <c r="O2" s="4" t="str">
        <f>IF(O3&lt;&gt;"", $A$1 &amp; "-" &amp; COUNTIF($D3:O3, "&lt;&gt;"), "")</f>
        <v/>
      </c>
      <c r="P2" s="4" t="str">
        <f>IF(P3&lt;&gt;"", $A$1 &amp; "-" &amp; COUNTIF($D3:P3, "&lt;&gt;"), "")</f>
        <v/>
      </c>
      <c r="Q2" s="4" t="str">
        <f>IF(Q3&lt;&gt;"", $A$1 &amp; "-" &amp; COUNTIF($D3:Q3, "&lt;&gt;"), "")</f>
        <v/>
      </c>
      <c r="R2" s="4" t="str">
        <f>IF(R3&lt;&gt;"", $A$1 &amp; "-" &amp; COUNTIF($D3:R3, "&lt;&gt;"), "")</f>
        <v/>
      </c>
      <c r="S2" s="4" t="str">
        <f>IF(S3&lt;&gt;"", $A$1 &amp; "-" &amp; COUNTIF($D3:S3, "&lt;&gt;"), "")</f>
        <v/>
      </c>
      <c r="T2" s="4" t="str">
        <f>IF(T3&lt;&gt;"", $A$1 &amp; "-" &amp; COUNTIF($D3:T3, "&lt;&gt;"), "")</f>
        <v/>
      </c>
      <c r="U2" s="4" t="str">
        <f>IF(U3&lt;&gt;"", $A$1 &amp; "-" &amp; COUNTIF($D3:U3, "&lt;&gt;"), "")</f>
        <v/>
      </c>
      <c r="V2" s="4" t="str">
        <f>IF(V3&lt;&gt;"", $A$1 &amp; "-" &amp; COUNTIF($D3:V3, "&lt;&gt;"), "")</f>
        <v/>
      </c>
      <c r="W2" s="4" t="str">
        <f>IF(W3&lt;&gt;"", $A$1 &amp; "-" &amp; COUNTIF($D3:W3, "&lt;&gt;"), "")</f>
        <v/>
      </c>
      <c r="X2" s="4" t="str">
        <f>IF(X3&lt;&gt;"", $A$1 &amp; "-" &amp; COUNTIF($D3:X3, "&lt;&gt;"), "")</f>
        <v/>
      </c>
      <c r="Y2" s="4" t="str">
        <f>IF(Y3&lt;&gt;"", $A$1 &amp; "-" &amp; COUNTIF($D3:Y3, "&lt;&gt;"), "")</f>
        <v/>
      </c>
      <c r="Z2" s="4" t="str">
        <f>IF(Z3&lt;&gt;"", $A$1 &amp; "-" &amp; COUNTIF($D3:Z3, "&lt;&gt;"), "")</f>
        <v/>
      </c>
      <c r="AA2" s="4" t="str">
        <f>IF(AA3&lt;&gt;"", $A$1 &amp; "-" &amp; COUNTIF($D3:AA3, "&lt;&gt;"), "")</f>
        <v/>
      </c>
      <c r="AB2" s="4" t="str">
        <f>IF(AB3&lt;&gt;"", $A$1 &amp; "-" &amp; COUNTIF($D3:AB3, "&lt;&gt;"), "")</f>
        <v/>
      </c>
      <c r="AC2" s="4" t="str">
        <f>IF(AC3&lt;&gt;"", $A$1 &amp; "-" &amp; COUNTIF($D3:AC3, "&lt;&gt;"), "")</f>
        <v/>
      </c>
      <c r="AD2" s="4" t="str">
        <f>IF(AD3&lt;&gt;"", $A$1 &amp; "-" &amp; COUNTIF($D3:AD3, "&lt;&gt;"), "")</f>
        <v/>
      </c>
      <c r="AE2" s="4" t="str">
        <f>IF(AE3&lt;&gt;"", $A$1 &amp; "-" &amp; COUNTIF($D3:AE3, "&lt;&gt;"), "")</f>
        <v/>
      </c>
      <c r="AF2" s="4" t="str">
        <f>IF(AF3&lt;&gt;"", $A$1 &amp; "-" &amp; COUNTIF($D3:AF3, "&lt;&gt;"), "")</f>
        <v/>
      </c>
      <c r="AG2" s="4" t="str">
        <f>IF(AG3&lt;&gt;"", $A$1 &amp; "-" &amp; COUNTIF($D3:AG3, "&lt;&gt;"), "")</f>
        <v/>
      </c>
      <c r="AH2" s="4" t="str">
        <f>IF(AH3&lt;&gt;"", $A$1 &amp; "-" &amp; COUNTIF($D3:AH3, "&lt;&gt;"), "")</f>
        <v/>
      </c>
      <c r="AI2" s="4" t="str">
        <f>IF(AI3&lt;&gt;"", $A$1 &amp; "-" &amp; COUNTIF($D3:AI3, "&lt;&gt;"), "")</f>
        <v/>
      </c>
      <c r="AJ2" s="4" t="str">
        <f>IF(AJ3&lt;&gt;"", $A$1 &amp; "-" &amp; COUNTIF($D3:AJ3, "&lt;&gt;"), "")</f>
        <v/>
      </c>
      <c r="AK2" s="4" t="str">
        <f>IF(AK3&lt;&gt;"", $A$1 &amp; "-" &amp; COUNTIF($D3:AK3, "&lt;&gt;"), "")</f>
        <v/>
      </c>
      <c r="AL2" s="4" t="str">
        <f>IF(AL3&lt;&gt;"", $A$1 &amp; "-" &amp; COUNTIF($D3:AL3, "&lt;&gt;"), "")</f>
        <v/>
      </c>
      <c r="AM2" s="4" t="str">
        <f>IF(AM3&lt;&gt;"", $A$1 &amp; "-" &amp; COUNTIF($D3:AM3, "&lt;&gt;"), "")</f>
        <v/>
      </c>
      <c r="AN2" s="4" t="str">
        <f>IF(AN3&lt;&gt;"", $A$1 &amp; "-" &amp; COUNTIF($D3:AN3, "&lt;&gt;"), "")</f>
        <v/>
      </c>
      <c r="AO2" s="4" t="str">
        <f>IF(AO3&lt;&gt;"", $A$1 &amp; "-" &amp; COUNTIF($D3:AO3, "&lt;&gt;"), "")</f>
        <v/>
      </c>
      <c r="AP2" s="4" t="str">
        <f>IF(AP3&lt;&gt;"", $A$1 &amp; "-" &amp; COUNTIF($D3:AP3, "&lt;&gt;"), "")</f>
        <v/>
      </c>
      <c r="AQ2" s="4" t="str">
        <f>IF(AQ3&lt;&gt;"", $A$1 &amp; "-" &amp; COUNTIF($D3:AQ3, "&lt;&gt;"), "")</f>
        <v/>
      </c>
      <c r="AR2" s="4" t="str">
        <f>IF(AR3&lt;&gt;"", $A$1 &amp; "-" &amp; COUNTIF($D3:AR3, "&lt;&gt;"), "")</f>
        <v/>
      </c>
      <c r="AS2" s="4" t="str">
        <f>IF(AS3&lt;&gt;"", $A$1 &amp; "-" &amp; COUNTIF($D3:AS3, "&lt;&gt;"), "")</f>
        <v/>
      </c>
      <c r="AT2" s="4" t="str">
        <f>IF(AT3&lt;&gt;"", $A$1 &amp; "-" &amp; COUNTIF($D3:AT3, "&lt;&gt;"), "")</f>
        <v/>
      </c>
      <c r="AU2" s="4" t="str">
        <f>IF(AU3&lt;&gt;"", $A$1 &amp; "-" &amp; COUNTIF($D3:AU3, "&lt;&gt;"), "")</f>
        <v/>
      </c>
      <c r="AV2" s="4" t="str">
        <f>IF(AV3&lt;&gt;"", $A$1 &amp; "-" &amp; COUNTIF($D3:AV3, "&lt;&gt;"), "")</f>
        <v/>
      </c>
      <c r="AW2" s="4" t="str">
        <f>IF(AW3&lt;&gt;"", $A$1 &amp; "-" &amp; COUNTIF($D3:AW3, "&lt;&gt;"), "")</f>
        <v/>
      </c>
      <c r="AX2" s="4" t="str">
        <f>IF(AX3&lt;&gt;"", $A$1 &amp; "-" &amp; COUNTIF($D3:AX3, "&lt;&gt;"), "")</f>
        <v/>
      </c>
      <c r="AY2" s="4" t="str">
        <f>IF(AY3&lt;&gt;"", $A$1 &amp; "-" &amp; COUNTIF($D3:AY3, "&lt;&gt;"), "")</f>
        <v/>
      </c>
      <c r="AZ2" s="4" t="str">
        <f>IF(AZ3&lt;&gt;"", $A$1 &amp; "-" &amp; COUNTIF($D3:AZ3, "&lt;&gt;"), "")</f>
        <v/>
      </c>
      <c r="BA2" s="4" t="str">
        <f>IF(BA3&lt;&gt;"", $A$1 &amp; "-" &amp; COUNTIF($D3:BA3, "&lt;&gt;"), "")</f>
        <v/>
      </c>
      <c r="BB2" s="4" t="str">
        <f>IF(BB3&lt;&gt;"", $A$1 &amp; "-" &amp; COUNTIF($D3:BB3, "&lt;&gt;"), "")</f>
        <v/>
      </c>
      <c r="BC2" s="4" t="str">
        <f>IF(BC3&lt;&gt;"", $A$1 &amp; "-" &amp; COUNTIF($D3:BC3, "&lt;&gt;"), "")</f>
        <v/>
      </c>
      <c r="BD2" s="4" t="str">
        <f>IF(BD3&lt;&gt;"", $A$1 &amp; "-" &amp; COUNTIF($D3:BD3, "&lt;&gt;"), "")</f>
        <v/>
      </c>
      <c r="BE2" s="4" t="str">
        <f>IF(BE3&lt;&gt;"", $A$1 &amp; "-" &amp; COUNTIF($D3:BE3, "&lt;&gt;"), "")</f>
        <v/>
      </c>
      <c r="BF2" s="4" t="str">
        <f>IF(BF3&lt;&gt;"", $A$1 &amp; "-" &amp; COUNTIF($D3:BF3, "&lt;&gt;"), "")</f>
        <v/>
      </c>
      <c r="BG2" s="4" t="str">
        <f>IF(BG3&lt;&gt;"", $A$1 &amp; "-" &amp; COUNTIF($D3:BG3, "&lt;&gt;"), "")</f>
        <v/>
      </c>
      <c r="BH2" s="4" t="str">
        <f>IF(BH3&lt;&gt;"", $A$1 &amp; "-" &amp; COUNTIF($D3:BH3, "&lt;&gt;"), "")</f>
        <v/>
      </c>
      <c r="BI2" s="4" t="str">
        <f>IF(BI3&lt;&gt;"", $A$1 &amp; "-" &amp; COUNTIF($D3:BI3, "&lt;&gt;"), "")</f>
        <v/>
      </c>
      <c r="BJ2" s="4" t="str">
        <f>IF(BJ3&lt;&gt;"", $A$1 &amp; "-" &amp; COUNTIF($D3:BJ3, "&lt;&gt;"), "")</f>
        <v/>
      </c>
      <c r="BK2" s="4" t="str">
        <f>IF(BK3&lt;&gt;"", $A$1 &amp; "-" &amp; COUNTIF($D3:BK3, "&lt;&gt;"), "")</f>
        <v/>
      </c>
      <c r="BL2" s="4" t="str">
        <f>IF(BL3&lt;&gt;"", $A$1 &amp; "-" &amp; COUNTIF($D3:BL3, "&lt;&gt;"), "")</f>
        <v/>
      </c>
      <c r="BM2" s="4" t="str">
        <f>IF(BM3&lt;&gt;"", $A$1 &amp; "-" &amp; COUNTIF($D3:BM3, "&lt;&gt;"), "")</f>
        <v/>
      </c>
      <c r="BN2" s="4" t="str">
        <f>IF(BN3&lt;&gt;"", $A$1 &amp; "-" &amp; COUNTIF($D3:BN3, "&lt;&gt;"), "")</f>
        <v/>
      </c>
      <c r="BO2" s="4" t="str">
        <f>IF(BO3&lt;&gt;"", $A$1 &amp; "-" &amp; COUNTIF($D3:BO3, "&lt;&gt;"), "")</f>
        <v/>
      </c>
      <c r="BP2" s="4" t="str">
        <f>IF(BP3&lt;&gt;"", $A$1 &amp; "-" &amp; COUNTIF($D3:BP3, "&lt;&gt;"), "")</f>
        <v/>
      </c>
      <c r="BQ2" s="4" t="str">
        <f>IF(BQ3&lt;&gt;"", $A$1 &amp; "-" &amp; COUNTIF($D3:BQ3, "&lt;&gt;"), "")</f>
        <v/>
      </c>
      <c r="BR2" s="4" t="str">
        <f>IF(BR3&lt;&gt;"", $A$1 &amp; "-" &amp; COUNTIF($D3:BR3, "&lt;&gt;"), "")</f>
        <v/>
      </c>
      <c r="BS2" s="4" t="str">
        <f>IF(BS3&lt;&gt;"", $A$1 &amp; "-" &amp; COUNTIF($D3:BS3, "&lt;&gt;"), "")</f>
        <v/>
      </c>
      <c r="BT2" s="4" t="str">
        <f>IF(BT3&lt;&gt;"", $A$1 &amp; "-" &amp; COUNTIF($D3:BT3, "&lt;&gt;"), "")</f>
        <v/>
      </c>
      <c r="BU2" s="4" t="str">
        <f>IF(BU3&lt;&gt;"", $A$1 &amp; "-" &amp; COUNTIF($D3:BU3, "&lt;&gt;"), "")</f>
        <v/>
      </c>
      <c r="BV2" s="4" t="str">
        <f>IF(BV3&lt;&gt;"", $A$1 &amp; "-" &amp; COUNTIF($D3:BV3, "&lt;&gt;"), "")</f>
        <v/>
      </c>
      <c r="BW2" s="4" t="str">
        <f>IF(BW3&lt;&gt;"", $A$1 &amp; "-" &amp; COUNTIF($D3:BW3, "&lt;&gt;"), "")</f>
        <v/>
      </c>
      <c r="BX2" s="4" t="str">
        <f>IF(BX3&lt;&gt;"", $A$1 &amp; "-" &amp; COUNTIF($D3:BX3, "&lt;&gt;"), "")</f>
        <v/>
      </c>
      <c r="BY2" s="4" t="str">
        <f>IF(BY3&lt;&gt;"", $A$1 &amp; "-" &amp; COUNTIF($D3:BY3, "&lt;&gt;"), "")</f>
        <v/>
      </c>
      <c r="BZ2" s="4" t="str">
        <f>IF(BZ3&lt;&gt;"", $A$1 &amp; "-" &amp; COUNTIF($D3:BZ3, "&lt;&gt;"), "")</f>
        <v/>
      </c>
      <c r="CA2" s="4" t="str">
        <f>IF(CA3&lt;&gt;"", $A$1 &amp; "-" &amp; COUNTIF($D3:CA3, "&lt;&gt;"), "")</f>
        <v/>
      </c>
      <c r="CB2" s="4" t="str">
        <f>IF(CB3&lt;&gt;"", $A$1 &amp; "-" &amp; COUNTIF($D3:CB3, "&lt;&gt;"), "")</f>
        <v/>
      </c>
      <c r="CC2" s="4" t="str">
        <f>IF(CC3&lt;&gt;"", $A$1 &amp; "-" &amp; COUNTIF($D3:CC3, "&lt;&gt;"), "")</f>
        <v/>
      </c>
      <c r="CD2" s="4" t="str">
        <f>IF(CD3&lt;&gt;"", $A$1 &amp; "-" &amp; COUNTIF($D3:CD3, "&lt;&gt;"), "")</f>
        <v/>
      </c>
      <c r="CE2" s="4" t="str">
        <f>IF(CE3&lt;&gt;"", $A$1 &amp; "-" &amp; COUNTIF($D3:CE3, "&lt;&gt;"), "")</f>
        <v/>
      </c>
      <c r="CF2" s="4" t="str">
        <f>IF(CF3&lt;&gt;"", $A$1 &amp; "-" &amp; COUNTIF($D3:CF3, "&lt;&gt;"), "")</f>
        <v/>
      </c>
      <c r="CG2" s="4" t="str">
        <f>IF(CG3&lt;&gt;"", $A$1 &amp; "-" &amp; COUNTIF($D3:CG3, "&lt;&gt;"), "")</f>
        <v/>
      </c>
      <c r="CH2" s="4" t="str">
        <f>IF(CH3&lt;&gt;"", $A$1 &amp; "-" &amp; COUNTIF($D3:CH3, "&lt;&gt;"), "")</f>
        <v/>
      </c>
      <c r="CI2" s="4" t="str">
        <f>IF(CI3&lt;&gt;"", $A$1 &amp; "-" &amp; COUNTIF($D3:CI3, "&lt;&gt;"), "")</f>
        <v/>
      </c>
      <c r="CJ2" s="4" t="str">
        <f>IF(CJ3&lt;&gt;"", $A$1 &amp; "-" &amp; COUNTIF($D3:CJ3, "&lt;&gt;"), "")</f>
        <v/>
      </c>
      <c r="CK2" s="4" t="str">
        <f>IF(CK3&lt;&gt;"", $A$1 &amp; "-" &amp; COUNTIF($D3:CK3, "&lt;&gt;"), "")</f>
        <v/>
      </c>
      <c r="CL2" s="4" t="str">
        <f>IF(CL3&lt;&gt;"", $A$1 &amp; "-" &amp; COUNTIF($D3:CL3, "&lt;&gt;"), "")</f>
        <v/>
      </c>
      <c r="CM2" s="4" t="str">
        <f>IF(CM3&lt;&gt;"", $A$1 &amp; "-" &amp; COUNTIF($D3:CM3, "&lt;&gt;"), "")</f>
        <v/>
      </c>
      <c r="CN2" s="4" t="str">
        <f>IF(CN3&lt;&gt;"", $A$1 &amp; "-" &amp; COUNTIF($D3:CN3, "&lt;&gt;"), "")</f>
        <v/>
      </c>
      <c r="CO2" s="4" t="str">
        <f>IF(CO3&lt;&gt;"", $A$1 &amp; "-" &amp; COUNTIF($D3:CO3, "&lt;&gt;"), "")</f>
        <v/>
      </c>
      <c r="CP2" s="4" t="str">
        <f>IF(CP3&lt;&gt;"", $A$1 &amp; "-" &amp; COUNTIF($D3:CP3, "&lt;&gt;"), "")</f>
        <v/>
      </c>
      <c r="CQ2" s="4" t="str">
        <f>IF(CQ3&lt;&gt;"", $A$1 &amp; "-" &amp; COUNTIF($D3:CQ3, "&lt;&gt;"), "")</f>
        <v/>
      </c>
      <c r="CR2" s="4" t="str">
        <f>IF(CR3&lt;&gt;"", $A$1 &amp; "-" &amp; COUNTIF($D3:CR3, "&lt;&gt;"), "")</f>
        <v/>
      </c>
      <c r="CS2" s="4" t="str">
        <f>IF(CS3&lt;&gt;"", $A$1 &amp; "-" &amp; COUNTIF($D3:CS3, "&lt;&gt;"), "")</f>
        <v/>
      </c>
      <c r="CT2" s="4" t="str">
        <f>IF(CT3&lt;&gt;"", $A$1 &amp; "-" &amp; COUNTIF($D3:CT3, "&lt;&gt;"), "")</f>
        <v/>
      </c>
      <c r="CU2" s="4" t="str">
        <f>IF(CU3&lt;&gt;"", $A$1 &amp; "-" &amp; COUNTIF($D3:CU3, "&lt;&gt;"), "")</f>
        <v/>
      </c>
      <c r="CV2" s="4" t="str">
        <f>IF(CV3&lt;&gt;"", $A$1 &amp; "-" &amp; COUNTIF($D3:CV3, "&lt;&gt;"), "")</f>
        <v/>
      </c>
      <c r="CW2" s="4" t="str">
        <f>IF(CW3&lt;&gt;"", $A$1 &amp; "-" &amp; COUNTIF($D3:CW3, "&lt;&gt;"), "")</f>
        <v/>
      </c>
      <c r="CX2" s="4" t="str">
        <f>IF(CX3&lt;&gt;"", $A$1 &amp; "-" &amp; COUNTIF($D3:CX3, "&lt;&gt;"), "")</f>
        <v/>
      </c>
      <c r="CY2" s="4" t="str">
        <f>IF(CY3&lt;&gt;"", $A$1 &amp; "-" &amp; COUNTIF($D3:CY3, "&lt;&gt;"), "")</f>
        <v/>
      </c>
      <c r="CZ2" s="4" t="str">
        <f>IF(CZ3&lt;&gt;"", $A$1 &amp; "-" &amp; COUNTIF($D3:CZ3, "&lt;&gt;"), "")</f>
        <v/>
      </c>
      <c r="DA2" s="4" t="str">
        <f>IF(DA3&lt;&gt;"", $A$1 &amp; "-" &amp; COUNTIF($D3:DA3, "&lt;&gt;"), "")</f>
        <v/>
      </c>
      <c r="DB2" s="4" t="str">
        <f>IF(DB3&lt;&gt;"", $A$1 &amp; "-" &amp; COUNTIF($D3:DB3, "&lt;&gt;"), "")</f>
        <v/>
      </c>
      <c r="DC2" s="4" t="str">
        <f>IF(DC3&lt;&gt;"", $A$1 &amp; "-" &amp; COUNTIF($D3:DC3, "&lt;&gt;"), "")</f>
        <v/>
      </c>
      <c r="DD2" s="4" t="str">
        <f>IF(DD3&lt;&gt;"", $A$1 &amp; "-" &amp; COUNTIF($D3:DD3, "&lt;&gt;"), "")</f>
        <v/>
      </c>
      <c r="DE2" s="4" t="str">
        <f>IF(DE3&lt;&gt;"", $A$1 &amp; "-" &amp; COUNTIF($D3:DE3, "&lt;&gt;"), "")</f>
        <v/>
      </c>
      <c r="DF2" s="4" t="str">
        <f>IF(DF3&lt;&gt;"", $A$1 &amp; "-" &amp; COUNTIF($D3:DF3, "&lt;&gt;"), "")</f>
        <v/>
      </c>
      <c r="DG2" s="4" t="str">
        <f>IF(DG3&lt;&gt;"", $A$1 &amp; "-" &amp; COUNTIF($D3:DG3, "&lt;&gt;"), "")</f>
        <v/>
      </c>
      <c r="DH2" s="4" t="str">
        <f>IF(DH3&lt;&gt;"", $A$1 &amp; "-" &amp; COUNTIF($D3:DH3, "&lt;&gt;"), "")</f>
        <v/>
      </c>
      <c r="DI2" s="4" t="str">
        <f>IF(DI3&lt;&gt;"", $A$1 &amp; "-" &amp; COUNTIF($D3:DI3, "&lt;&gt;"), "")</f>
        <v/>
      </c>
      <c r="DJ2" s="4" t="str">
        <f>IF(DJ3&lt;&gt;"", $A$1 &amp; "-" &amp; COUNTIF($D3:DJ3, "&lt;&gt;"), "")</f>
        <v/>
      </c>
      <c r="DK2" s="4" t="str">
        <f>IF(DK3&lt;&gt;"", $A$1 &amp; "-" &amp; COUNTIF($D3:DK3, "&lt;&gt;"), "")</f>
        <v/>
      </c>
      <c r="DL2" s="4" t="str">
        <f>IF(DL3&lt;&gt;"", $A$1 &amp; "-" &amp; COUNTIF($D3:DL3, "&lt;&gt;"), "")</f>
        <v/>
      </c>
      <c r="DM2" s="4" t="str">
        <f>IF(DM3&lt;&gt;"", $A$1 &amp; "-" &amp; COUNTIF($D3:DM3, "&lt;&gt;"), "")</f>
        <v/>
      </c>
      <c r="DN2" s="4" t="str">
        <f>IF(DN3&lt;&gt;"", $A$1 &amp; "-" &amp; COUNTIF($D3:DN3, "&lt;&gt;"), "")</f>
        <v/>
      </c>
      <c r="DO2" s="4" t="str">
        <f>IF(DO3&lt;&gt;"", $A$1 &amp; "-" &amp; COUNTIF($D3:DO3, "&lt;&gt;"), "")</f>
        <v/>
      </c>
      <c r="DP2" s="4" t="str">
        <f>IF(DP3&lt;&gt;"", $A$1 &amp; "-" &amp; COUNTIF($D3:DP3, "&lt;&gt;"), "")</f>
        <v/>
      </c>
      <c r="DQ2" s="4" t="str">
        <f>IF(DQ3&lt;&gt;"", $A$1 &amp; "-" &amp; COUNTIF($D3:DQ3, "&lt;&gt;"), "")</f>
        <v/>
      </c>
      <c r="DR2" s="4" t="str">
        <f>IF(DR3&lt;&gt;"", $A$1 &amp; "-" &amp; COUNTIF($D3:DR3, "&lt;&gt;"), "")</f>
        <v/>
      </c>
      <c r="DS2" s="4" t="str">
        <f>IF(DS3&lt;&gt;"", $A$1 &amp; "-" &amp; COUNTIF($D3:DS3, "&lt;&gt;"), "")</f>
        <v/>
      </c>
      <c r="DT2" s="4" t="str">
        <f>IF(DT3&lt;&gt;"", $A$1 &amp; "-" &amp; COUNTIF($D3:DT3, "&lt;&gt;"), "")</f>
        <v/>
      </c>
      <c r="DU2" s="4" t="str">
        <f>IF(DU3&lt;&gt;"", $A$1 &amp; "-" &amp; COUNTIF($D3:DU3, "&lt;&gt;"), "")</f>
        <v/>
      </c>
      <c r="DV2" s="4" t="str">
        <f>IF(DV3&lt;&gt;"", $A$1 &amp; "-" &amp; COUNTIF($D3:DV3, "&lt;&gt;"), "")</f>
        <v/>
      </c>
      <c r="DW2" s="4" t="str">
        <f>IF(DW3&lt;&gt;"", $A$1 &amp; "-" &amp; COUNTIF($D3:DW3, "&lt;&gt;"), "")</f>
        <v/>
      </c>
      <c r="DX2" s="4" t="str">
        <f>IF(DX3&lt;&gt;"", $A$1 &amp; "-" &amp; COUNTIF($D3:DX3, "&lt;&gt;"), "")</f>
        <v/>
      </c>
      <c r="DY2" s="4" t="str">
        <f>IF(DY3&lt;&gt;"", $A$1 &amp; "-" &amp; COUNTIF($D3:DY3, "&lt;&gt;"), "")</f>
        <v/>
      </c>
      <c r="DZ2" s="4" t="str">
        <f>IF(DZ3&lt;&gt;"", $A$1 &amp; "-" &amp; COUNTIF($D3:DZ3, "&lt;&gt;"), "")</f>
        <v/>
      </c>
      <c r="EA2" s="4" t="str">
        <f>IF(EA3&lt;&gt;"", $A$1 &amp; "-" &amp; COUNTIF($D3:EA3, "&lt;&gt;"), "")</f>
        <v/>
      </c>
      <c r="EB2" s="4" t="str">
        <f>IF(EB3&lt;&gt;"", $A$1 &amp; "-" &amp; COUNTIF($D3:EB3, "&lt;&gt;"), "")</f>
        <v/>
      </c>
      <c r="EC2" s="4" t="str">
        <f>IF(EC3&lt;&gt;"", $A$1 &amp; "-" &amp; COUNTIF($D3:EC3, "&lt;&gt;"), "")</f>
        <v/>
      </c>
      <c r="ED2" s="4" t="str">
        <f>IF(ED3&lt;&gt;"", $A$1 &amp; "-" &amp; COUNTIF($D3:ED3, "&lt;&gt;"), "")</f>
        <v/>
      </c>
      <c r="EE2" s="4" t="str">
        <f>IF(EE3&lt;&gt;"", $A$1 &amp; "-" &amp; COUNTIF($D3:EE3, "&lt;&gt;"), "")</f>
        <v/>
      </c>
      <c r="EF2" s="4" t="str">
        <f>IF(EF3&lt;&gt;"", $A$1 &amp; "-" &amp; COUNTIF($D3:EF3, "&lt;&gt;"), "")</f>
        <v/>
      </c>
      <c r="EG2" s="4" t="str">
        <f>IF(EG3&lt;&gt;"", $A$1 &amp; "-" &amp; COUNTIF($D3:EG3, "&lt;&gt;"), "")</f>
        <v/>
      </c>
      <c r="EH2" s="4" t="str">
        <f>IF(EH3&lt;&gt;"", $A$1 &amp; "-" &amp; COUNTIF($D3:EH3, "&lt;&gt;"), "")</f>
        <v/>
      </c>
      <c r="EI2" s="4" t="str">
        <f>IF(EI3&lt;&gt;"", $A$1 &amp; "-" &amp; COUNTIF($D3:EI3, "&lt;&gt;"), "")</f>
        <v/>
      </c>
      <c r="EJ2" s="4" t="str">
        <f>IF(EJ3&lt;&gt;"", $A$1 &amp; "-" &amp; COUNTIF($D3:EJ3, "&lt;&gt;"), "")</f>
        <v/>
      </c>
      <c r="EK2" s="4" t="str">
        <f>IF(EK3&lt;&gt;"", $A$1 &amp; "-" &amp; COUNTIF($D3:EK3, "&lt;&gt;"), "")</f>
        <v/>
      </c>
      <c r="EL2" s="4" t="str">
        <f>IF(EL3&lt;&gt;"", $A$1 &amp; "-" &amp; COUNTIF($D3:EL3, "&lt;&gt;"), "")</f>
        <v/>
      </c>
      <c r="EM2" s="4" t="str">
        <f>IF(EM3&lt;&gt;"", $A$1 &amp; "-" &amp; COUNTIF($D3:EM3, "&lt;&gt;"), "")</f>
        <v/>
      </c>
      <c r="EN2" s="4" t="str">
        <f>IF(EN3&lt;&gt;"", $A$1 &amp; "-" &amp; COUNTIF($D3:EN3, "&lt;&gt;"), "")</f>
        <v/>
      </c>
      <c r="EO2" s="4" t="str">
        <f>IF(EO3&lt;&gt;"", $A$1 &amp; "-" &amp; COUNTIF($D3:EO3, "&lt;&gt;"), "")</f>
        <v/>
      </c>
      <c r="EP2" s="4" t="str">
        <f>IF(EP3&lt;&gt;"", $A$1 &amp; "-" &amp; COUNTIF($D3:EP3, "&lt;&gt;"), "")</f>
        <v/>
      </c>
      <c r="EQ2" s="4" t="str">
        <f>IF(EQ3&lt;&gt;"", $A$1 &amp; "-" &amp; COUNTIF($D3:EQ3, "&lt;&gt;"), "")</f>
        <v/>
      </c>
      <c r="ER2" s="4" t="str">
        <f>IF(ER3&lt;&gt;"", $A$1 &amp; "-" &amp; COUNTIF($D3:ER3, "&lt;&gt;"), "")</f>
        <v/>
      </c>
      <c r="ES2" s="4" t="str">
        <f>IF(ES3&lt;&gt;"", $A$1 &amp; "-" &amp; COUNTIF($D3:ES3, "&lt;&gt;"), "")</f>
        <v/>
      </c>
      <c r="ET2" s="4" t="str">
        <f>IF(ET3&lt;&gt;"", $A$1 &amp; "-" &amp; COUNTIF($D3:ET3, "&lt;&gt;"), "")</f>
        <v/>
      </c>
      <c r="EU2" s="4" t="str">
        <f>IF(EU3&lt;&gt;"", $A$1 &amp; "-" &amp; COUNTIF($D3:EU3, "&lt;&gt;"), "")</f>
        <v/>
      </c>
      <c r="EV2" s="4" t="str">
        <f>IF(EV3&lt;&gt;"", $A$1 &amp; "-" &amp; COUNTIF($D3:EV3, "&lt;&gt;"), "")</f>
        <v/>
      </c>
      <c r="EW2" s="4" t="str">
        <f>IF(EW3&lt;&gt;"", $A$1 &amp; "-" &amp; COUNTIF($D3:EW3, "&lt;&gt;"), "")</f>
        <v/>
      </c>
      <c r="EX2" s="4" t="str">
        <f>IF(EX3&lt;&gt;"", $A$1 &amp; "-" &amp; COUNTIF($D3:EX3, "&lt;&gt;"), "")</f>
        <v/>
      </c>
      <c r="EY2" s="4" t="str">
        <f>IF(EY3&lt;&gt;"", $A$1 &amp; "-" &amp; COUNTIF($D3:EY3, "&lt;&gt;"), "")</f>
        <v/>
      </c>
      <c r="EZ2" s="4" t="str">
        <f>IF(EZ3&lt;&gt;"", $A$1 &amp; "-" &amp; COUNTIF($D3:EZ3, "&lt;&gt;"), "")</f>
        <v/>
      </c>
      <c r="FA2" s="4" t="str">
        <f>IF(FA3&lt;&gt;"", $A$1 &amp; "-" &amp; COUNTIF($D3:FA3, "&lt;&gt;"), "")</f>
        <v/>
      </c>
      <c r="FB2" s="4" t="str">
        <f>IF(FB3&lt;&gt;"", $A$1 &amp; "-" &amp; COUNTIF($D3:FB3, "&lt;&gt;"), "")</f>
        <v/>
      </c>
      <c r="FC2" s="4" t="str">
        <f>IF(FC3&lt;&gt;"", $A$1 &amp; "-" &amp; COUNTIF($D3:FC3, "&lt;&gt;"), "")</f>
        <v/>
      </c>
      <c r="FD2" s="4" t="str">
        <f>IF(FD3&lt;&gt;"", $A$1 &amp; "-" &amp; COUNTIF($D3:FD3, "&lt;&gt;"), "")</f>
        <v/>
      </c>
      <c r="FE2" s="4" t="str">
        <f>IF(FE3&lt;&gt;"", $A$1 &amp; "-" &amp; COUNTIF($D3:FE3, "&lt;&gt;"), "")</f>
        <v/>
      </c>
      <c r="FF2" s="4" t="str">
        <f>IF(FF3&lt;&gt;"", $A$1 &amp; "-" &amp; COUNTIF($D3:FF3, "&lt;&gt;"), "")</f>
        <v/>
      </c>
      <c r="FG2" s="4" t="str">
        <f>IF(FG3&lt;&gt;"", $A$1 &amp; "-" &amp; COUNTIF($D3:FG3, "&lt;&gt;"), "")</f>
        <v/>
      </c>
      <c r="FH2" s="4" t="str">
        <f>IF(FH3&lt;&gt;"", $A$1 &amp; "-" &amp; COUNTIF($D3:FH3, "&lt;&gt;"), "")</f>
        <v/>
      </c>
      <c r="FI2" s="4" t="str">
        <f>IF(FI3&lt;&gt;"", $A$1 &amp; "-" &amp; COUNTIF($D3:FI3, "&lt;&gt;"), "")</f>
        <v/>
      </c>
      <c r="FJ2" s="4" t="str">
        <f>IF(FJ3&lt;&gt;"", $A$1 &amp; "-" &amp; COUNTIF($D3:FJ3, "&lt;&gt;"), "")</f>
        <v/>
      </c>
      <c r="FK2" s="4" t="str">
        <f>IF(FK3&lt;&gt;"", $A$1 &amp; "-" &amp; COUNTIF($D3:FK3, "&lt;&gt;"), "")</f>
        <v/>
      </c>
      <c r="FL2" s="4" t="str">
        <f>IF(FL3&lt;&gt;"", $A$1 &amp; "-" &amp; COUNTIF($D3:FL3, "&lt;&gt;"), "")</f>
        <v/>
      </c>
      <c r="FM2" s="4" t="str">
        <f>IF(FM3&lt;&gt;"", $A$1 &amp; "-" &amp; COUNTIF($D3:FM3, "&lt;&gt;"), "")</f>
        <v/>
      </c>
      <c r="FN2" s="4" t="str">
        <f>IF(FN3&lt;&gt;"", $A$1 &amp; "-" &amp; COUNTIF($D3:FN3, "&lt;&gt;"), "")</f>
        <v/>
      </c>
      <c r="FO2" s="4" t="str">
        <f>IF(FO3&lt;&gt;"", $A$1 &amp; "-" &amp; COUNTIF($D3:FO3, "&lt;&gt;"), "")</f>
        <v/>
      </c>
      <c r="FP2" s="4" t="str">
        <f>IF(FP3&lt;&gt;"", $A$1 &amp; "-" &amp; COUNTIF($D3:FP3, "&lt;&gt;"), "")</f>
        <v/>
      </c>
      <c r="FQ2" s="4" t="str">
        <f>IF(FQ3&lt;&gt;"", $A$1 &amp; "-" &amp; COUNTIF($D3:FQ3, "&lt;&gt;"), "")</f>
        <v/>
      </c>
      <c r="FR2" s="4" t="str">
        <f>IF(FR3&lt;&gt;"", $A$1 &amp; "-" &amp; COUNTIF($D3:FR3, "&lt;&gt;"), "")</f>
        <v/>
      </c>
      <c r="FS2" s="4" t="str">
        <f>IF(FS3&lt;&gt;"", $A$1 &amp; "-" &amp; COUNTIF($D3:FS3, "&lt;&gt;"), "")</f>
        <v/>
      </c>
      <c r="FT2" s="4" t="str">
        <f>IF(FT3&lt;&gt;"", $A$1 &amp; "-" &amp; COUNTIF($D3:FT3, "&lt;&gt;"), "")</f>
        <v/>
      </c>
      <c r="FU2" s="4" t="str">
        <f>IF(FU3&lt;&gt;"", $A$1 &amp; "-" &amp; COUNTIF($D3:FU3, "&lt;&gt;"), "")</f>
        <v/>
      </c>
      <c r="FV2" s="4" t="str">
        <f>IF(FV3&lt;&gt;"", $A$1 &amp; "-" &amp; COUNTIF($D3:FV3, "&lt;&gt;"), "")</f>
        <v/>
      </c>
      <c r="FW2" s="4" t="str">
        <f>IF(FW3&lt;&gt;"", $A$1 &amp; "-" &amp; COUNTIF($D3:FW3, "&lt;&gt;"), "")</f>
        <v/>
      </c>
      <c r="FX2" s="4" t="str">
        <f>IF(FX3&lt;&gt;"", $A$1 &amp; "-" &amp; COUNTIF($D3:FX3, "&lt;&gt;"), "")</f>
        <v/>
      </c>
      <c r="FY2" s="4" t="str">
        <f>IF(FY3&lt;&gt;"", $A$1 &amp; "-" &amp; COUNTIF($D3:FY3, "&lt;&gt;"), "")</f>
        <v/>
      </c>
      <c r="FZ2" s="4" t="str">
        <f>IF(FZ3&lt;&gt;"", $A$1 &amp; "-" &amp; COUNTIF($D3:FZ3, "&lt;&gt;"), "")</f>
        <v/>
      </c>
      <c r="GA2" s="4" t="str">
        <f>IF(GA3&lt;&gt;"", $A$1 &amp; "-" &amp; COUNTIF($D3:GA3, "&lt;&gt;"), "")</f>
        <v/>
      </c>
      <c r="GB2" s="4" t="str">
        <f>IF(GB3&lt;&gt;"", $A$1 &amp; "-" &amp; COUNTIF($D3:GB3, "&lt;&gt;"), "")</f>
        <v/>
      </c>
      <c r="GC2" s="4" t="str">
        <f>IF(GC3&lt;&gt;"", $A$1 &amp; "-" &amp; COUNTIF($D3:GC3, "&lt;&gt;"), "")</f>
        <v/>
      </c>
      <c r="GD2" s="4" t="str">
        <f>IF(GD3&lt;&gt;"", $A$1 &amp; "-" &amp; COUNTIF($D3:GD3, "&lt;&gt;"), "")</f>
        <v/>
      </c>
      <c r="GE2" s="4" t="str">
        <f>IF(GE3&lt;&gt;"", $A$1 &amp; "-" &amp; COUNTIF($D3:GE3, "&lt;&gt;"), "")</f>
        <v/>
      </c>
      <c r="GF2" s="4" t="str">
        <f>IF(GF3&lt;&gt;"", $A$1 &amp; "-" &amp; COUNTIF($D3:GF3, "&lt;&gt;"), "")</f>
        <v/>
      </c>
      <c r="GG2" s="4" t="str">
        <f>IF(GG3&lt;&gt;"", $A$1 &amp; "-" &amp; COUNTIF($D3:GG3, "&lt;&gt;"), "")</f>
        <v/>
      </c>
      <c r="GH2" s="4" t="str">
        <f>IF(GH3&lt;&gt;"", $A$1 &amp; "-" &amp; COUNTIF($D3:GH3, "&lt;&gt;"), "")</f>
        <v/>
      </c>
      <c r="GI2" s="4" t="str">
        <f>IF(GI3&lt;&gt;"", $A$1 &amp; "-" &amp; COUNTIF($D3:GI3, "&lt;&gt;"), "")</f>
        <v/>
      </c>
      <c r="GJ2" s="4" t="str">
        <f>IF(GJ3&lt;&gt;"", $A$1 &amp; "-" &amp; COUNTIF($D3:GJ3, "&lt;&gt;"), "")</f>
        <v/>
      </c>
      <c r="GK2" s="4" t="str">
        <f>IF(GK3&lt;&gt;"", $A$1 &amp; "-" &amp; COUNTIF($D3:GK3, "&lt;&gt;"), "")</f>
        <v/>
      </c>
      <c r="GL2" s="4" t="str">
        <f>IF(GL3&lt;&gt;"", $A$1 &amp; "-" &amp; COUNTIF($D3:GL3, "&lt;&gt;"), "")</f>
        <v/>
      </c>
      <c r="GM2" s="4" t="str">
        <f>IF(GM3&lt;&gt;"", $A$1 &amp; "-" &amp; COUNTIF($D3:GM3, "&lt;&gt;"), "")</f>
        <v/>
      </c>
      <c r="GN2" s="4" t="str">
        <f>IF(GN3&lt;&gt;"", $A$1 &amp; "-" &amp; COUNTIF($D3:GN3, "&lt;&gt;"), "")</f>
        <v/>
      </c>
      <c r="GO2" s="4" t="str">
        <f>IF(GO3&lt;&gt;"", $A$1 &amp; "-" &amp; COUNTIF($D3:GO3, "&lt;&gt;"), "")</f>
        <v/>
      </c>
      <c r="GP2" s="4" t="str">
        <f>IF(GP3&lt;&gt;"", $A$1 &amp; "-" &amp; COUNTIF($D3:GP3, "&lt;&gt;"), "")</f>
        <v/>
      </c>
      <c r="GQ2" s="4" t="str">
        <f>IF(GQ3&lt;&gt;"", $A$1 &amp; "-" &amp; COUNTIF($D3:GQ3, "&lt;&gt;"), "")</f>
        <v/>
      </c>
      <c r="GR2" s="4" t="str">
        <f>IF(GR3&lt;&gt;"", $A$1 &amp; "-" &amp; COUNTIF($D3:GR3, "&lt;&gt;"), "")</f>
        <v/>
      </c>
      <c r="GS2" s="4" t="str">
        <f>IF(GS3&lt;&gt;"", $A$1 &amp; "-" &amp; COUNTIF($D3:GS3, "&lt;&gt;"), "")</f>
        <v/>
      </c>
      <c r="GT2" s="4" t="str">
        <f>IF(GT3&lt;&gt;"", $A$1 &amp; "-" &amp; COUNTIF($D3:GT3, "&lt;&gt;"), "")</f>
        <v/>
      </c>
      <c r="GU2" s="4" t="str">
        <f>IF(GU3&lt;&gt;"", $A$1 &amp; "-" &amp; COUNTIF($D3:GU3, "&lt;&gt;"), "")</f>
        <v/>
      </c>
      <c r="GV2" s="4" t="str">
        <f>IF(GV3&lt;&gt;"", $A$1 &amp; "-" &amp; COUNTIF($D3:GV3, "&lt;&gt;"), "")</f>
        <v/>
      </c>
      <c r="GW2" s="4" t="str">
        <f>IF(GW3&lt;&gt;"", $A$1 &amp; "-" &amp; COUNTIF($D3:GW3, "&lt;&gt;"), "")</f>
        <v/>
      </c>
      <c r="GX2" s="4" t="str">
        <f>IF(GX3&lt;&gt;"", $A$1 &amp; "-" &amp; COUNTIF($D3:GX3, "&lt;&gt;"), "")</f>
        <v/>
      </c>
      <c r="GY2" s="4" t="str">
        <f>IF(GY3&lt;&gt;"", $A$1 &amp; "-" &amp; COUNTIF($D3:GY3, "&lt;&gt;"), "")</f>
        <v/>
      </c>
    </row>
    <row r="3" spans="1:207" x14ac:dyDescent="0.25">
      <c r="A3" s="4" t="s">
        <v>7</v>
      </c>
      <c r="D3" s="4" t="s">
        <v>46</v>
      </c>
      <c r="G3" s="4" t="s">
        <v>6</v>
      </c>
    </row>
    <row r="4" spans="1:207" x14ac:dyDescent="0.25">
      <c r="A4" s="3" t="s">
        <v>5</v>
      </c>
      <c r="B4" s="3" t="s">
        <v>4</v>
      </c>
      <c r="D4" s="3" t="s">
        <v>47</v>
      </c>
      <c r="E4" s="3" t="s">
        <v>48</v>
      </c>
      <c r="G4" s="3" t="s">
        <v>3</v>
      </c>
      <c r="H4" s="3" t="s">
        <v>2</v>
      </c>
      <c r="I4" s="3" t="s">
        <v>1</v>
      </c>
      <c r="J4" s="3" t="s">
        <v>0</v>
      </c>
    </row>
    <row r="5" spans="1:207" x14ac:dyDescent="0.25">
      <c r="A5" s="2" t="str" cm="1">
        <f t="array" ref="A5:A6">TRANSPOSE(_xlfn.UNIQUE(_xlfn._xlws.FILTER($B2:$GY2, $B2:$GY2&lt;&gt;"")))</f>
        <v>MD-1</v>
      </c>
      <c r="B5" s="2" t="str" cm="1">
        <f t="array" ref="B5:B6">TRANSPOSE(_xlfn.UNIQUE(_xlfn._xlws.FILTER($D3:$GY3, $D3:$GY3&lt;&gt;"")))</f>
        <v>System Operations Columns</v>
      </c>
      <c r="D5" s="2" t="s">
        <v>10</v>
      </c>
      <c r="E5" s="2" t="s">
        <v>52</v>
      </c>
      <c r="G5" s="2"/>
      <c r="H5" s="2"/>
      <c r="I5" s="2"/>
      <c r="J5" s="2"/>
    </row>
    <row r="6" spans="1:207" x14ac:dyDescent="0.25">
      <c r="A6" s="2" t="str">
        <v>MD-2</v>
      </c>
      <c r="B6" s="2" t="str">
        <v>Master Data 2</v>
      </c>
      <c r="D6" s="2" t="s">
        <v>13</v>
      </c>
      <c r="E6" s="2" t="s">
        <v>53</v>
      </c>
      <c r="G6" s="2"/>
      <c r="H6" s="2"/>
      <c r="I6" s="2"/>
      <c r="J6" s="2"/>
    </row>
    <row r="7" spans="1:207" x14ac:dyDescent="0.25">
      <c r="A7" s="2"/>
      <c r="B7" s="2"/>
      <c r="D7" s="2" t="s">
        <v>14</v>
      </c>
      <c r="E7" s="2" t="s">
        <v>53</v>
      </c>
      <c r="G7" s="2"/>
      <c r="H7" s="2"/>
      <c r="I7" s="2"/>
      <c r="J7" s="2"/>
    </row>
    <row r="8" spans="1:207" x14ac:dyDescent="0.25">
      <c r="A8" s="2"/>
      <c r="B8" s="2"/>
      <c r="D8" s="2" t="s">
        <v>15</v>
      </c>
      <c r="E8" s="2" t="s">
        <v>53</v>
      </c>
      <c r="G8" s="2"/>
      <c r="H8" s="2"/>
      <c r="I8" s="2"/>
      <c r="J8" s="2"/>
    </row>
    <row r="9" spans="1:207" x14ac:dyDescent="0.25">
      <c r="A9" s="2"/>
      <c r="B9" s="2"/>
      <c r="D9" s="2"/>
      <c r="E9" s="2"/>
      <c r="G9" s="2"/>
      <c r="H9" s="2"/>
      <c r="I9" s="2"/>
      <c r="J9" s="2"/>
    </row>
    <row r="10" spans="1:207" x14ac:dyDescent="0.25">
      <c r="A10" s="2"/>
      <c r="B10" s="2"/>
      <c r="D10" s="2"/>
      <c r="E10" s="2"/>
      <c r="G10" s="2"/>
      <c r="H10" s="2"/>
      <c r="I10" s="2"/>
      <c r="J10" s="2"/>
    </row>
    <row r="11" spans="1:207" x14ac:dyDescent="0.25">
      <c r="A11" s="2"/>
      <c r="B11" s="2"/>
      <c r="D11" s="2"/>
      <c r="E11" s="2"/>
      <c r="G11" s="2"/>
      <c r="H11" s="2"/>
      <c r="I11" s="2"/>
      <c r="J11" s="2"/>
    </row>
    <row r="12" spans="1:207" x14ac:dyDescent="0.25">
      <c r="A12" s="2"/>
      <c r="B12" s="2"/>
      <c r="D12" s="2"/>
      <c r="E12" s="2"/>
      <c r="G12" s="2"/>
      <c r="H12" s="2"/>
      <c r="I12" s="2"/>
      <c r="J12" s="2"/>
    </row>
    <row r="13" spans="1:207" x14ac:dyDescent="0.25">
      <c r="A13" s="2"/>
      <c r="B13" s="2"/>
      <c r="D13" s="2"/>
      <c r="E13" s="2"/>
      <c r="G13" s="2"/>
      <c r="H13" s="2"/>
      <c r="I13" s="2"/>
      <c r="J13" s="2"/>
    </row>
    <row r="14" spans="1:207" x14ac:dyDescent="0.25">
      <c r="A14" s="2"/>
      <c r="B14" s="2"/>
      <c r="D14" s="2"/>
      <c r="E14" s="2"/>
      <c r="G14" s="2"/>
      <c r="H14" s="2"/>
      <c r="I14" s="2"/>
      <c r="J14" s="2"/>
    </row>
    <row r="15" spans="1:207" x14ac:dyDescent="0.25">
      <c r="A15" s="2"/>
      <c r="B15" s="2"/>
      <c r="D15" s="2"/>
      <c r="E15" s="2"/>
      <c r="G15" s="2"/>
      <c r="H15" s="2"/>
      <c r="I15" s="2"/>
      <c r="J15" s="2"/>
    </row>
    <row r="16" spans="1:207" x14ac:dyDescent="0.25">
      <c r="A16" s="2"/>
      <c r="B16" s="2"/>
      <c r="D16" s="2"/>
      <c r="E16" s="2"/>
      <c r="G16" s="2"/>
      <c r="H16" s="2"/>
      <c r="I16" s="2"/>
      <c r="J16" s="2"/>
    </row>
    <row r="17" spans="1:10" x14ac:dyDescent="0.25">
      <c r="A17" s="2"/>
      <c r="B17" s="2"/>
      <c r="D17" s="2"/>
      <c r="E17" s="2"/>
      <c r="G17" s="2"/>
      <c r="H17" s="2"/>
      <c r="I17" s="2"/>
      <c r="J17" s="2"/>
    </row>
    <row r="18" spans="1:10" x14ac:dyDescent="0.25">
      <c r="A18" s="2"/>
      <c r="B18" s="2"/>
      <c r="D18" s="2"/>
      <c r="E18" s="2"/>
      <c r="G18" s="2"/>
      <c r="H18" s="2"/>
      <c r="I18" s="2"/>
      <c r="J18" s="2"/>
    </row>
    <row r="19" spans="1:10" x14ac:dyDescent="0.25">
      <c r="A19" s="2"/>
      <c r="B19" s="2"/>
      <c r="D19" s="2"/>
      <c r="E19" s="2"/>
      <c r="G19" s="2"/>
      <c r="H19" s="2"/>
      <c r="I19" s="2"/>
      <c r="J19" s="2"/>
    </row>
    <row r="20" spans="1:10" x14ac:dyDescent="0.25">
      <c r="A20" s="2"/>
      <c r="B20" s="2"/>
      <c r="D20" s="2"/>
      <c r="E20" s="2"/>
      <c r="G20" s="2"/>
      <c r="H20" s="2"/>
      <c r="I20" s="2"/>
      <c r="J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System Operations</vt:lpstr>
      <vt:lpstr>System Operations Details</vt:lpstr>
      <vt:lpstr>Subdomains</vt:lpstr>
      <vt:lpstr>Master Data</vt:lpstr>
      <vt:lpstr>System_Operations</vt:lpstr>
      <vt:lpstr>System_Operations_Columns</vt:lpstr>
      <vt:lpstr>To_Chuc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2026-03-22T14:32:00Z</dcterms:modified>
</cp:coreProperties>
</file>